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研一\实验\MEDG_DA\"/>
    </mc:Choice>
  </mc:AlternateContent>
  <xr:revisionPtr revIDLastSave="0" documentId="13_ncr:1_{1D071039-8156-44B0-96C0-B1DEB110FC2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DIRG" sheetId="1" r:id="rId1"/>
    <sheet name="MAFAULDA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2" i="2" l="1"/>
  <c r="N47" i="2"/>
  <c r="Z17" i="2"/>
  <c r="Z18" i="2"/>
  <c r="Z19" i="2"/>
  <c r="Z20" i="2"/>
  <c r="Z21" i="2"/>
  <c r="Z16" i="2"/>
  <c r="N57" i="2"/>
  <c r="M57" i="2"/>
  <c r="L57" i="2"/>
  <c r="K57" i="2"/>
  <c r="J57" i="2"/>
  <c r="I57" i="2"/>
  <c r="H57" i="2"/>
  <c r="N52" i="2"/>
  <c r="M52" i="2"/>
  <c r="L52" i="2"/>
  <c r="K52" i="2"/>
  <c r="J52" i="2"/>
  <c r="I52" i="2"/>
  <c r="H52" i="2"/>
  <c r="M47" i="2"/>
  <c r="L47" i="2"/>
  <c r="K47" i="2"/>
  <c r="J47" i="2"/>
  <c r="I47" i="2"/>
  <c r="H47" i="2"/>
  <c r="M42" i="2"/>
  <c r="L42" i="2"/>
  <c r="K42" i="2"/>
  <c r="J42" i="2"/>
  <c r="I42" i="2"/>
  <c r="H42" i="2"/>
  <c r="Z10" i="2"/>
  <c r="Z11" i="2"/>
  <c r="Z12" i="2"/>
  <c r="Z13" i="2"/>
  <c r="Z14" i="2"/>
  <c r="Z9" i="2"/>
  <c r="I34" i="2"/>
  <c r="J34" i="2"/>
  <c r="K34" i="2"/>
  <c r="L34" i="2"/>
  <c r="M34" i="2"/>
  <c r="N34" i="2"/>
  <c r="O34" i="2"/>
  <c r="P34" i="2"/>
  <c r="Q34" i="2"/>
  <c r="R34" i="2"/>
  <c r="S34" i="2"/>
  <c r="H34" i="2"/>
  <c r="I29" i="2"/>
  <c r="J29" i="2"/>
  <c r="K29" i="2"/>
  <c r="L29" i="2"/>
  <c r="M29" i="2"/>
  <c r="N29" i="2"/>
  <c r="O29" i="2"/>
  <c r="P29" i="2"/>
  <c r="Q29" i="2"/>
  <c r="R29" i="2"/>
  <c r="S29" i="2"/>
  <c r="H29" i="2"/>
  <c r="I24" i="2"/>
  <c r="J24" i="2"/>
  <c r="K24" i="2"/>
  <c r="L24" i="2"/>
  <c r="M24" i="2"/>
  <c r="N24" i="2"/>
  <c r="O24" i="2"/>
  <c r="P24" i="2"/>
  <c r="Q24" i="2"/>
  <c r="R24" i="2"/>
  <c r="S24" i="2"/>
  <c r="H24" i="2"/>
  <c r="I19" i="2"/>
  <c r="J19" i="2"/>
  <c r="K19" i="2"/>
  <c r="L19" i="2"/>
  <c r="M19" i="2"/>
  <c r="N19" i="2"/>
  <c r="O19" i="2"/>
  <c r="P19" i="2"/>
  <c r="Q19" i="2"/>
  <c r="R19" i="2"/>
  <c r="S19" i="2"/>
  <c r="H19" i="2"/>
  <c r="I14" i="2"/>
  <c r="J14" i="2"/>
  <c r="K14" i="2"/>
  <c r="L14" i="2"/>
  <c r="M14" i="2"/>
  <c r="N14" i="2"/>
  <c r="O14" i="2"/>
  <c r="P14" i="2"/>
  <c r="Q14" i="2"/>
  <c r="R14" i="2"/>
  <c r="S14" i="2"/>
  <c r="H14" i="2"/>
  <c r="E23" i="2"/>
  <c r="D23" i="2"/>
  <c r="C23" i="2"/>
  <c r="C18" i="2"/>
  <c r="C13" i="2"/>
  <c r="G53" i="1"/>
  <c r="G54" i="1"/>
  <c r="G55" i="1"/>
  <c r="G56" i="1"/>
  <c r="G57" i="1"/>
  <c r="G52" i="1"/>
  <c r="G60" i="1"/>
  <c r="G61" i="1"/>
  <c r="G62" i="1"/>
  <c r="G63" i="1"/>
  <c r="G64" i="1"/>
  <c r="G59" i="1"/>
  <c r="N51" i="1"/>
  <c r="M51" i="1"/>
  <c r="K51" i="1"/>
  <c r="L51" i="1"/>
  <c r="AJ36" i="1"/>
  <c r="AI36" i="1"/>
  <c r="AH36" i="1"/>
  <c r="N46" i="1"/>
  <c r="M46" i="1"/>
  <c r="L46" i="1"/>
  <c r="K46" i="1"/>
  <c r="AC31" i="1"/>
  <c r="AD36" i="1"/>
  <c r="AE36" i="1"/>
  <c r="AC36" i="1"/>
  <c r="K41" i="1"/>
  <c r="L41" i="1"/>
  <c r="M41" i="1"/>
  <c r="N41" i="1"/>
  <c r="Y46" i="1"/>
  <c r="Z46" i="1"/>
  <c r="X46" i="1"/>
  <c r="L36" i="1"/>
  <c r="M36" i="1"/>
  <c r="N36" i="1"/>
  <c r="K36" i="1"/>
  <c r="U31" i="1"/>
  <c r="S31" i="1"/>
  <c r="T31" i="1"/>
  <c r="R31" i="1"/>
  <c r="L31" i="1"/>
  <c r="M31" i="1"/>
  <c r="N31" i="1"/>
  <c r="K31" i="1"/>
  <c r="H46" i="1"/>
  <c r="B31" i="1"/>
  <c r="C31" i="1"/>
  <c r="D31" i="1"/>
  <c r="E31" i="1"/>
  <c r="F31" i="1"/>
  <c r="G31" i="1"/>
  <c r="B36" i="1"/>
  <c r="C36" i="1"/>
  <c r="D36" i="1"/>
  <c r="E36" i="1"/>
  <c r="F36" i="1"/>
  <c r="G36" i="1"/>
  <c r="B41" i="1"/>
  <c r="C41" i="1"/>
  <c r="D41" i="1"/>
  <c r="E41" i="1"/>
  <c r="F41" i="1"/>
  <c r="G41" i="1"/>
  <c r="B46" i="1"/>
  <c r="C46" i="1"/>
  <c r="D46" i="1"/>
  <c r="E46" i="1"/>
  <c r="F46" i="1"/>
  <c r="G46" i="1"/>
  <c r="H41" i="1"/>
  <c r="H36" i="1"/>
  <c r="H31" i="1"/>
  <c r="AG9" i="1"/>
  <c r="AH9" i="1"/>
  <c r="AH14" i="1"/>
  <c r="AH19" i="1"/>
  <c r="AG24" i="1"/>
  <c r="AH24" i="1"/>
  <c r="AC19" i="1"/>
  <c r="AC14" i="1"/>
  <c r="AD14" i="1"/>
  <c r="AB14" i="1"/>
  <c r="AB9" i="1"/>
  <c r="AD9" i="1"/>
  <c r="AB24" i="1"/>
  <c r="AD24" i="1"/>
  <c r="AC9" i="1"/>
  <c r="AC24" i="1"/>
  <c r="R9" i="1"/>
  <c r="V9" i="1"/>
  <c r="W9" i="1"/>
  <c r="Y9" i="1"/>
  <c r="X9" i="1"/>
  <c r="V24" i="1"/>
  <c r="V19" i="1"/>
  <c r="V14" i="1"/>
  <c r="W24" i="1"/>
  <c r="Y24" i="1"/>
  <c r="W19" i="1"/>
  <c r="Y19" i="1"/>
  <c r="W14" i="1"/>
  <c r="Y14" i="1"/>
  <c r="X24" i="1"/>
  <c r="X19" i="1"/>
  <c r="X14" i="1"/>
  <c r="C21" i="1"/>
  <c r="O24" i="1"/>
  <c r="P24" i="1"/>
  <c r="Q24" i="1"/>
  <c r="R24" i="1"/>
  <c r="S24" i="1"/>
  <c r="O19" i="1"/>
  <c r="P19" i="1"/>
  <c r="Q19" i="1"/>
  <c r="R19" i="1"/>
  <c r="S19" i="1"/>
  <c r="O14" i="1"/>
  <c r="P14" i="1"/>
  <c r="Q14" i="1"/>
  <c r="R14" i="1"/>
  <c r="S14" i="1"/>
  <c r="O9" i="1"/>
  <c r="P9" i="1"/>
  <c r="Q9" i="1"/>
  <c r="S9" i="1"/>
  <c r="I24" i="1"/>
  <c r="J24" i="1"/>
  <c r="K24" i="1"/>
  <c r="L24" i="1"/>
  <c r="H24" i="1"/>
  <c r="D21" i="1"/>
  <c r="D16" i="1"/>
  <c r="I19" i="1"/>
  <c r="J19" i="1"/>
  <c r="K19" i="1"/>
  <c r="L19" i="1"/>
  <c r="H19" i="1"/>
  <c r="I14" i="1"/>
  <c r="J14" i="1"/>
  <c r="K14" i="1"/>
  <c r="L14" i="1"/>
  <c r="H14" i="1"/>
  <c r="I9" i="1"/>
  <c r="J9" i="1"/>
  <c r="K9" i="1"/>
  <c r="L9" i="1"/>
  <c r="H9" i="1"/>
  <c r="B11" i="1"/>
  <c r="C11" i="1"/>
  <c r="D11" i="1"/>
  <c r="E11" i="1"/>
  <c r="D6" i="1"/>
  <c r="C6" i="1"/>
  <c r="E6" i="1"/>
  <c r="B6" i="1"/>
</calcChain>
</file>

<file path=xl/sharedStrings.xml><?xml version="1.0" encoding="utf-8"?>
<sst xmlns="http://schemas.openxmlformats.org/spreadsheetml/2006/main" count="194" uniqueCount="81">
  <si>
    <t>task1</t>
    <phoneticPr fontId="1" type="noConversion"/>
  </si>
  <si>
    <t>task2</t>
    <phoneticPr fontId="1" type="noConversion"/>
  </si>
  <si>
    <t>task3</t>
    <phoneticPr fontId="1" type="noConversion"/>
  </si>
  <si>
    <t>task4</t>
    <phoneticPr fontId="1" type="noConversion"/>
  </si>
  <si>
    <t>lr=0.05</t>
    <phoneticPr fontId="1" type="noConversion"/>
  </si>
  <si>
    <t>默认参数</t>
    <phoneticPr fontId="1" type="noConversion"/>
  </si>
  <si>
    <t>w_outer</t>
    <phoneticPr fontId="1" type="noConversion"/>
  </si>
  <si>
    <t>w_adv</t>
    <phoneticPr fontId="1" type="noConversion"/>
  </si>
  <si>
    <t>w_domacc</t>
    <phoneticPr fontId="1" type="noConversion"/>
  </si>
  <si>
    <t>w_hsic</t>
    <phoneticPr fontId="1" type="noConversion"/>
  </si>
  <si>
    <t>w_rec</t>
    <phoneticPr fontId="1" type="noConversion"/>
  </si>
  <si>
    <t>w_coral</t>
    <phoneticPr fontId="1" type="noConversion"/>
  </si>
  <si>
    <t>outer=0.7</t>
    <phoneticPr fontId="1" type="noConversion"/>
  </si>
  <si>
    <t>w_adv=0.1</t>
    <phoneticPr fontId="1" type="noConversion"/>
  </si>
  <si>
    <t>no_meta</t>
    <phoneticPr fontId="1" type="noConversion"/>
  </si>
  <si>
    <t>no_adv</t>
    <phoneticPr fontId="1" type="noConversion"/>
  </si>
  <si>
    <t>no_coral</t>
    <phoneticPr fontId="1" type="noConversion"/>
  </si>
  <si>
    <t>no_domacc</t>
    <phoneticPr fontId="1" type="noConversion"/>
  </si>
  <si>
    <t>no_hsic</t>
    <phoneticPr fontId="1" type="noConversion"/>
  </si>
  <si>
    <t>no_rec</t>
    <phoneticPr fontId="1" type="noConversion"/>
  </si>
  <si>
    <t>MEDG</t>
    <phoneticPr fontId="1" type="noConversion"/>
  </si>
  <si>
    <t>DANN</t>
    <phoneticPr fontId="1" type="noConversion"/>
  </si>
  <si>
    <t>MMD</t>
    <phoneticPr fontId="1" type="noConversion"/>
  </si>
  <si>
    <t>确认参数</t>
    <phoneticPr fontId="1" type="noConversion"/>
  </si>
  <si>
    <t>lr</t>
    <phoneticPr fontId="1" type="noConversion"/>
  </si>
  <si>
    <t>80.36.6</t>
    <phoneticPr fontId="1" type="noConversion"/>
  </si>
  <si>
    <t>DANN0</t>
    <phoneticPr fontId="1" type="noConversion"/>
  </si>
  <si>
    <t>MCD</t>
    <phoneticPr fontId="1" type="noConversion"/>
  </si>
  <si>
    <t>CDAN</t>
    <phoneticPr fontId="1" type="noConversion"/>
  </si>
  <si>
    <t>trad_off</t>
    <phoneticPr fontId="1" type="noConversion"/>
  </si>
  <si>
    <t>M-DANN</t>
    <phoneticPr fontId="1" type="noConversion"/>
  </si>
  <si>
    <t>acc_D</t>
    <phoneticPr fontId="1" type="noConversion"/>
  </si>
  <si>
    <t>acc_Dc</t>
    <phoneticPr fontId="1" type="noConversion"/>
  </si>
  <si>
    <t>acc_Z</t>
    <phoneticPr fontId="1" type="noConversion"/>
  </si>
  <si>
    <t>acc_Zc</t>
    <phoneticPr fontId="1" type="noConversion"/>
  </si>
  <si>
    <t>Dc+Zc</t>
    <phoneticPr fontId="1" type="noConversion"/>
  </si>
  <si>
    <t>D+Z</t>
    <phoneticPr fontId="1" type="noConversion"/>
  </si>
  <si>
    <t>ridge</t>
    <phoneticPr fontId="1" type="noConversion"/>
  </si>
  <si>
    <t>0g</t>
    <phoneticPr fontId="3" type="noConversion"/>
  </si>
  <si>
    <t>6g</t>
    <phoneticPr fontId="3" type="noConversion"/>
  </si>
  <si>
    <t>20g</t>
    <phoneticPr fontId="3" type="noConversion"/>
  </si>
  <si>
    <t>task5</t>
    <phoneticPr fontId="3" type="noConversion"/>
  </si>
  <si>
    <t>task6</t>
    <phoneticPr fontId="3" type="noConversion"/>
  </si>
  <si>
    <t>task7</t>
    <phoneticPr fontId="3" type="noConversion"/>
  </si>
  <si>
    <t>task8</t>
    <phoneticPr fontId="3" type="noConversion"/>
  </si>
  <si>
    <t>1,6,11,3,8,13</t>
    <phoneticPr fontId="3" type="noConversion"/>
  </si>
  <si>
    <t>source</t>
    <phoneticPr fontId="3" type="noConversion"/>
  </si>
  <si>
    <t>target</t>
    <phoneticPr fontId="3" type="noConversion"/>
  </si>
  <si>
    <t>0,5,10,2,7,13</t>
    <phoneticPr fontId="3" type="noConversion"/>
  </si>
  <si>
    <t>5,6,7,8,9</t>
    <phoneticPr fontId="3" type="noConversion"/>
  </si>
  <si>
    <t>0,1,2,3,4,10,11,12,13</t>
    <phoneticPr fontId="3" type="noConversion"/>
  </si>
  <si>
    <t>acc</t>
    <phoneticPr fontId="3" type="noConversion"/>
  </si>
  <si>
    <t>Macro F1</t>
    <phoneticPr fontId="3" type="noConversion"/>
  </si>
  <si>
    <t>Weight F1</t>
    <phoneticPr fontId="3" type="noConversion"/>
  </si>
  <si>
    <t>MEDG</t>
    <phoneticPr fontId="3" type="noConversion"/>
  </si>
  <si>
    <t>DANN</t>
    <phoneticPr fontId="3" type="noConversion"/>
  </si>
  <si>
    <t>M-DANN</t>
    <phoneticPr fontId="3" type="noConversion"/>
  </si>
  <si>
    <t>CDAN</t>
    <phoneticPr fontId="3" type="noConversion"/>
  </si>
  <si>
    <t>outer=0.5</t>
    <phoneticPr fontId="3" type="noConversion"/>
  </si>
  <si>
    <t>2,7,12</t>
    <phoneticPr fontId="3" type="noConversion"/>
  </si>
  <si>
    <t>0,1,4,5,6,9,10,11</t>
    <phoneticPr fontId="3" type="noConversion"/>
  </si>
  <si>
    <t>w_outer</t>
    <phoneticPr fontId="3" type="noConversion"/>
  </si>
  <si>
    <t>w_coral</t>
    <phoneticPr fontId="3" type="noConversion"/>
  </si>
  <si>
    <t>w_adv</t>
    <phoneticPr fontId="3" type="noConversion"/>
  </si>
  <si>
    <t>w_dacc</t>
    <phoneticPr fontId="3" type="noConversion"/>
  </si>
  <si>
    <t>w_HSIC</t>
    <phoneticPr fontId="3" type="noConversion"/>
  </si>
  <si>
    <t>w_rec</t>
    <phoneticPr fontId="3" type="noConversion"/>
  </si>
  <si>
    <t>MCD</t>
    <phoneticPr fontId="3" type="noConversion"/>
  </si>
  <si>
    <t>task5</t>
    <phoneticPr fontId="1" type="noConversion"/>
  </si>
  <si>
    <t>task6</t>
    <phoneticPr fontId="1" type="noConversion"/>
  </si>
  <si>
    <t>task7</t>
    <phoneticPr fontId="1" type="noConversion"/>
  </si>
  <si>
    <t>task8</t>
    <phoneticPr fontId="1" type="noConversion"/>
  </si>
  <si>
    <t>消融实验</t>
    <phoneticPr fontId="1" type="noConversion"/>
  </si>
  <si>
    <t>对比试验</t>
    <phoneticPr fontId="1" type="noConversion"/>
  </si>
  <si>
    <t>对比实验</t>
    <phoneticPr fontId="3" type="noConversion"/>
  </si>
  <si>
    <t>消融实验</t>
    <phoneticPr fontId="3" type="noConversion"/>
  </si>
  <si>
    <t>解耦分析</t>
    <phoneticPr fontId="3" type="noConversion"/>
  </si>
  <si>
    <t>解耦分析</t>
    <phoneticPr fontId="1" type="noConversion"/>
  </si>
  <si>
    <t xml:space="preserve">  </t>
    <phoneticPr fontId="3" type="noConversion"/>
  </si>
  <si>
    <t>ERM</t>
    <phoneticPr fontId="1" type="noConversion"/>
  </si>
  <si>
    <t>DFD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</si>
</sst>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FFFF00"/>
      <name val="宋体"/>
      <family val="3"/>
      <charset val="134"/>
      <scheme val="minor"/>
    </font>
    <font>
      <b/>
      <sz val="11"/>
      <color theme="7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2" fillId="3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2" fillId="0" borderId="0" xfId="0" applyFont="1">
      <alignment vertical="center"/>
    </xf>
    <xf numFmtId="0" fontId="6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8" fillId="4" borderId="1" xfId="0" applyFont="1" applyFill="1" applyBorder="1">
      <alignment vertical="center"/>
    </xf>
    <xf numFmtId="0" fontId="8" fillId="3" borderId="1" xfId="0" applyFont="1" applyFill="1" applyBorder="1">
      <alignment vertical="center"/>
    </xf>
    <xf numFmtId="0" fontId="2" fillId="5" borderId="0" xfId="0" applyFont="1" applyFill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66"/>
  <sheetViews>
    <sheetView tabSelected="1" zoomScale="115" zoomScaleNormal="115" workbookViewId="0">
      <selection activeCell="P48" sqref="P48"/>
    </sheetView>
  </sheetViews>
  <sheetFormatPr defaultColWidth="9" defaultRowHeight="14.4" x14ac:dyDescent="0.25"/>
  <cols>
    <col min="4" max="4" width="9.33203125" bestFit="1" customWidth="1"/>
    <col min="5" max="5" width="9.88671875" customWidth="1"/>
    <col min="8" max="8" width="10.109375" customWidth="1"/>
    <col min="14" max="14" width="10.44140625" customWidth="1"/>
    <col min="15" max="15" width="10.21875" customWidth="1"/>
    <col min="18" max="18" width="10.5546875" bestFit="1" customWidth="1"/>
    <col min="20" max="20" width="8" customWidth="1"/>
    <col min="23" max="23" width="9.33203125" bestFit="1" customWidth="1"/>
    <col min="24" max="24" width="9.5546875" bestFit="1" customWidth="1"/>
    <col min="25" max="25" width="10.44140625" bestFit="1" customWidth="1"/>
    <col min="29" max="29" width="10.5546875" bestFit="1" customWidth="1"/>
    <col min="34" max="34" width="10.5546875" bestFit="1" customWidth="1"/>
  </cols>
  <sheetData>
    <row r="1" spans="1:40" x14ac:dyDescent="0.25">
      <c r="A1" s="7"/>
      <c r="B1" s="7" t="s">
        <v>4</v>
      </c>
      <c r="C1" s="6">
        <v>1E-3</v>
      </c>
      <c r="D1" s="9">
        <v>5.0000000000000001E-4</v>
      </c>
      <c r="E1" s="6">
        <v>1E-4</v>
      </c>
      <c r="G1" s="7" t="s">
        <v>5</v>
      </c>
      <c r="H1" s="7" t="s">
        <v>6</v>
      </c>
      <c r="I1" s="7" t="s">
        <v>7</v>
      </c>
      <c r="J1" s="7" t="s">
        <v>11</v>
      </c>
      <c r="K1" s="7" t="s">
        <v>8</v>
      </c>
      <c r="L1" s="7" t="s">
        <v>9</v>
      </c>
      <c r="M1" s="7" t="s">
        <v>10</v>
      </c>
      <c r="O1" s="7" t="s">
        <v>23</v>
      </c>
      <c r="P1" s="7" t="s">
        <v>6</v>
      </c>
      <c r="Q1" s="7" t="s">
        <v>7</v>
      </c>
      <c r="R1" s="7" t="s">
        <v>11</v>
      </c>
      <c r="S1" s="7" t="s">
        <v>8</v>
      </c>
      <c r="T1" s="7" t="s">
        <v>9</v>
      </c>
      <c r="U1" s="7" t="s">
        <v>10</v>
      </c>
      <c r="V1" s="7"/>
      <c r="W1" s="1" t="s">
        <v>24</v>
      </c>
    </row>
    <row r="2" spans="1:40" x14ac:dyDescent="0.25">
      <c r="A2" s="19" t="s">
        <v>0</v>
      </c>
      <c r="B2" s="2">
        <v>39.630000000000003</v>
      </c>
      <c r="C2" s="2">
        <v>99.78</v>
      </c>
      <c r="D2" s="2">
        <v>99.62</v>
      </c>
      <c r="E2" s="2">
        <v>98.71</v>
      </c>
      <c r="G2" s="2"/>
      <c r="H2" s="2">
        <v>0.7</v>
      </c>
      <c r="I2" s="2">
        <v>1</v>
      </c>
      <c r="J2" s="2">
        <v>0.5</v>
      </c>
      <c r="K2" s="2">
        <v>0.3</v>
      </c>
      <c r="L2" s="2">
        <v>0.1</v>
      </c>
      <c r="M2" s="2">
        <v>0.1</v>
      </c>
      <c r="O2" s="2"/>
      <c r="P2" s="2">
        <v>0.3</v>
      </c>
      <c r="Q2" s="2">
        <v>0.7</v>
      </c>
      <c r="R2" s="2">
        <v>0.3</v>
      </c>
      <c r="S2" s="2">
        <v>0.3</v>
      </c>
      <c r="T2" s="2">
        <v>0.1</v>
      </c>
      <c r="U2" s="2">
        <v>0.1</v>
      </c>
      <c r="V2" s="2"/>
      <c r="W2" s="2">
        <v>5.0000000000000001E-4</v>
      </c>
    </row>
    <row r="3" spans="1:40" x14ac:dyDescent="0.25">
      <c r="A3" s="20"/>
      <c r="B3" s="2">
        <v>51.39</v>
      </c>
      <c r="C3" s="2">
        <v>99.84</v>
      </c>
      <c r="D3" s="2">
        <v>99.74</v>
      </c>
      <c r="E3" s="2">
        <v>99.24</v>
      </c>
    </row>
    <row r="4" spans="1:40" x14ac:dyDescent="0.25">
      <c r="A4" s="20"/>
      <c r="B4" s="2">
        <v>46.66</v>
      </c>
      <c r="C4" s="2">
        <v>99.78</v>
      </c>
      <c r="D4" s="2">
        <v>99.86</v>
      </c>
      <c r="E4" s="2">
        <v>98.79</v>
      </c>
      <c r="G4" s="6"/>
      <c r="H4" s="7" t="s">
        <v>12</v>
      </c>
      <c r="I4" s="6">
        <v>0.1</v>
      </c>
      <c r="J4" s="9">
        <v>0.3</v>
      </c>
      <c r="K4" s="6">
        <v>0.5</v>
      </c>
      <c r="L4" s="6">
        <v>1</v>
      </c>
      <c r="N4" s="6"/>
      <c r="O4" s="7" t="s">
        <v>13</v>
      </c>
      <c r="P4" s="6">
        <v>0.3</v>
      </c>
      <c r="Q4" s="6">
        <v>0.5</v>
      </c>
      <c r="R4" s="9">
        <v>0.7</v>
      </c>
      <c r="S4" s="6">
        <v>1</v>
      </c>
      <c r="U4" s="7" t="s">
        <v>8</v>
      </c>
      <c r="V4" s="7">
        <v>0.05</v>
      </c>
      <c r="W4" s="6">
        <v>0.1</v>
      </c>
      <c r="X4" s="9">
        <v>0.3</v>
      </c>
      <c r="Y4" s="6">
        <v>0.5</v>
      </c>
      <c r="AA4" s="7" t="s">
        <v>11</v>
      </c>
      <c r="AB4" s="6">
        <v>0.3</v>
      </c>
      <c r="AC4" s="9">
        <v>0.5</v>
      </c>
      <c r="AD4" s="6">
        <v>0.7</v>
      </c>
      <c r="AF4" s="12" t="s">
        <v>9</v>
      </c>
      <c r="AG4" s="12">
        <v>0.05</v>
      </c>
      <c r="AH4" s="12">
        <v>0.1</v>
      </c>
      <c r="AI4" s="12">
        <v>0.3</v>
      </c>
      <c r="AK4" s="7" t="s">
        <v>10</v>
      </c>
      <c r="AL4" s="12">
        <v>0.05</v>
      </c>
      <c r="AM4" s="6">
        <v>0.1</v>
      </c>
      <c r="AN4" s="6">
        <v>0.3</v>
      </c>
    </row>
    <row r="5" spans="1:40" x14ac:dyDescent="0.25">
      <c r="A5" s="20"/>
      <c r="B5" s="2">
        <v>42.73</v>
      </c>
      <c r="C5" s="2">
        <v>99.42</v>
      </c>
      <c r="D5" s="2">
        <v>99.86</v>
      </c>
      <c r="E5" s="2">
        <v>98.93</v>
      </c>
      <c r="G5" s="19" t="s">
        <v>0</v>
      </c>
      <c r="H5" s="2">
        <v>99.62</v>
      </c>
      <c r="I5" s="2">
        <v>99.64</v>
      </c>
      <c r="J5" s="2">
        <v>99.76</v>
      </c>
      <c r="K5" s="2">
        <v>99.7</v>
      </c>
      <c r="L5" s="2">
        <v>99.62</v>
      </c>
      <c r="N5" s="19" t="s">
        <v>0</v>
      </c>
      <c r="O5" s="2"/>
      <c r="P5" s="2"/>
      <c r="Q5" s="2"/>
      <c r="R5" s="2">
        <v>99.62</v>
      </c>
      <c r="S5" s="2">
        <v>99.76</v>
      </c>
      <c r="U5" s="19" t="s">
        <v>0</v>
      </c>
      <c r="V5" s="3"/>
      <c r="W5" s="2">
        <v>99.88</v>
      </c>
      <c r="X5" s="2">
        <v>99.62</v>
      </c>
      <c r="Y5" s="2"/>
      <c r="AA5" s="19" t="s">
        <v>0</v>
      </c>
      <c r="AB5" s="2">
        <v>99.76</v>
      </c>
      <c r="AC5" s="2">
        <v>99.62</v>
      </c>
      <c r="AD5" s="2">
        <v>99.74</v>
      </c>
      <c r="AF5" s="19" t="s">
        <v>0</v>
      </c>
      <c r="AG5" s="2">
        <v>99.46</v>
      </c>
      <c r="AH5" s="2">
        <v>99.62</v>
      </c>
      <c r="AI5" s="2"/>
      <c r="AK5" s="19" t="s">
        <v>0</v>
      </c>
      <c r="AL5" s="2"/>
      <c r="AM5" s="2"/>
      <c r="AN5" s="2"/>
    </row>
    <row r="6" spans="1:40" x14ac:dyDescent="0.25">
      <c r="A6" s="5"/>
      <c r="B6" s="5">
        <f>AVERAGE(B2:B5)</f>
        <v>45.102499999999999</v>
      </c>
      <c r="C6" s="5">
        <f t="shared" ref="C6:E6" si="0">AVERAGE(C2:C5)</f>
        <v>99.704999999999998</v>
      </c>
      <c r="D6" s="8">
        <f t="shared" si="0"/>
        <v>99.77000000000001</v>
      </c>
      <c r="E6" s="5">
        <f t="shared" si="0"/>
        <v>98.917500000000004</v>
      </c>
      <c r="G6" s="20"/>
      <c r="H6" s="2">
        <v>99.74</v>
      </c>
      <c r="I6" s="2">
        <v>99.76</v>
      </c>
      <c r="J6" s="2">
        <v>99.7</v>
      </c>
      <c r="K6" s="2">
        <v>99.56</v>
      </c>
      <c r="L6" s="2">
        <v>99.66</v>
      </c>
      <c r="N6" s="20"/>
      <c r="O6" s="2"/>
      <c r="P6" s="2"/>
      <c r="Q6" s="2"/>
      <c r="R6">
        <v>99.74</v>
      </c>
      <c r="S6" s="2">
        <v>99.7</v>
      </c>
      <c r="U6" s="20"/>
      <c r="V6" s="4"/>
      <c r="W6" s="2">
        <v>99.88</v>
      </c>
      <c r="X6">
        <v>99.74</v>
      </c>
      <c r="Y6" s="2"/>
      <c r="AA6" s="20"/>
      <c r="AB6" s="2">
        <v>99.8</v>
      </c>
      <c r="AC6">
        <v>99.74</v>
      </c>
      <c r="AD6" s="2">
        <v>99.7</v>
      </c>
      <c r="AF6" s="20"/>
      <c r="AG6" s="2">
        <v>99.86</v>
      </c>
      <c r="AH6">
        <v>99.74</v>
      </c>
      <c r="AI6" s="2"/>
      <c r="AK6" s="20"/>
      <c r="AL6" s="2"/>
      <c r="AM6" s="2"/>
      <c r="AN6" s="2"/>
    </row>
    <row r="7" spans="1:40" x14ac:dyDescent="0.25">
      <c r="A7" s="19" t="s">
        <v>1</v>
      </c>
      <c r="B7" s="2">
        <v>17.73</v>
      </c>
      <c r="C7" s="2">
        <v>99.37</v>
      </c>
      <c r="D7" s="2">
        <v>99.24</v>
      </c>
      <c r="E7" s="2">
        <v>95.62</v>
      </c>
      <c r="G7" s="20"/>
      <c r="H7" s="2">
        <v>99.86</v>
      </c>
      <c r="I7" s="2">
        <v>99.9</v>
      </c>
      <c r="J7" s="2">
        <v>99.92</v>
      </c>
      <c r="K7" s="2">
        <v>99.84</v>
      </c>
      <c r="L7" s="2">
        <v>99.92</v>
      </c>
      <c r="N7" s="20"/>
      <c r="O7" s="2"/>
      <c r="P7" s="2"/>
      <c r="Q7" s="2"/>
      <c r="R7" s="2">
        <v>99.74</v>
      </c>
      <c r="S7" s="2">
        <v>99.92</v>
      </c>
      <c r="U7" s="20"/>
      <c r="V7" s="4"/>
      <c r="W7" s="2">
        <v>99.84</v>
      </c>
      <c r="X7" s="2">
        <v>99.74</v>
      </c>
      <c r="Y7" s="2"/>
      <c r="AA7" s="20"/>
      <c r="AB7" s="2">
        <v>99.88</v>
      </c>
      <c r="AC7" s="2">
        <v>99.74</v>
      </c>
      <c r="AD7" s="2">
        <v>99.84</v>
      </c>
      <c r="AF7" s="20"/>
      <c r="AG7" s="2">
        <v>99.74</v>
      </c>
      <c r="AH7" s="2">
        <v>99.74</v>
      </c>
      <c r="AI7" s="2"/>
      <c r="AK7" s="20"/>
      <c r="AL7" s="2"/>
      <c r="AM7" s="2"/>
      <c r="AN7" s="2"/>
    </row>
    <row r="8" spans="1:40" x14ac:dyDescent="0.25">
      <c r="A8" s="20"/>
      <c r="B8" s="2">
        <v>51.61</v>
      </c>
      <c r="C8" s="2">
        <v>99.47</v>
      </c>
      <c r="D8" s="2">
        <v>99.84</v>
      </c>
      <c r="E8" s="2">
        <v>94.06</v>
      </c>
      <c r="G8" s="20"/>
      <c r="H8" s="2">
        <v>99.86</v>
      </c>
      <c r="I8" s="2">
        <v>99.72</v>
      </c>
      <c r="J8" s="2">
        <v>99.72</v>
      </c>
      <c r="K8" s="2">
        <v>99.88</v>
      </c>
      <c r="L8" s="2">
        <v>99.82</v>
      </c>
      <c r="N8" s="20"/>
      <c r="O8" s="2"/>
      <c r="P8" s="2"/>
      <c r="Q8" s="2"/>
      <c r="R8" s="2">
        <v>99.6</v>
      </c>
      <c r="S8" s="2">
        <v>99.72</v>
      </c>
      <c r="U8" s="20"/>
      <c r="V8" s="4"/>
      <c r="W8" s="2">
        <v>99.6</v>
      </c>
      <c r="X8" s="2">
        <v>99.6</v>
      </c>
      <c r="Y8" s="2"/>
      <c r="AA8" s="20"/>
      <c r="AB8" s="2">
        <v>99.94</v>
      </c>
      <c r="AC8" s="2">
        <v>99.6</v>
      </c>
      <c r="AD8" s="2">
        <v>99.7</v>
      </c>
      <c r="AF8" s="20"/>
      <c r="AG8" s="2">
        <v>99.72</v>
      </c>
      <c r="AH8" s="2">
        <v>99.6</v>
      </c>
      <c r="AI8" s="2"/>
      <c r="AK8" s="20"/>
      <c r="AL8" s="2"/>
      <c r="AM8" s="2"/>
      <c r="AN8" s="2"/>
    </row>
    <row r="9" spans="1:40" x14ac:dyDescent="0.25">
      <c r="A9" s="20"/>
      <c r="B9" s="2">
        <v>58.3</v>
      </c>
      <c r="C9" s="2">
        <v>97.07</v>
      </c>
      <c r="D9" s="2">
        <v>97.69</v>
      </c>
      <c r="E9" s="2">
        <v>90.7</v>
      </c>
      <c r="G9" s="5"/>
      <c r="H9" s="5">
        <f>AVERAGE(H5:H8)</f>
        <v>99.77000000000001</v>
      </c>
      <c r="I9" s="5">
        <f t="shared" ref="I9:L9" si="1">AVERAGE(I5:I8)</f>
        <v>99.754999999999995</v>
      </c>
      <c r="J9" s="8">
        <f t="shared" si="1"/>
        <v>99.775000000000006</v>
      </c>
      <c r="K9" s="5">
        <f t="shared" si="1"/>
        <v>99.745000000000005</v>
      </c>
      <c r="L9" s="5">
        <f t="shared" si="1"/>
        <v>99.754999999999995</v>
      </c>
      <c r="N9" s="5"/>
      <c r="O9" s="5" t="e">
        <f t="shared" ref="O9:Q9" si="2">AVERAGE(O5:O8)</f>
        <v>#DIV/0!</v>
      </c>
      <c r="P9" s="5" t="e">
        <f t="shared" si="2"/>
        <v>#DIV/0!</v>
      </c>
      <c r="Q9" s="5" t="e">
        <f t="shared" si="2"/>
        <v>#DIV/0!</v>
      </c>
      <c r="R9" s="5">
        <f>AVERAGE(R5:R8)</f>
        <v>99.675000000000011</v>
      </c>
      <c r="S9" s="5">
        <f>AVERAGE(S5:S8)</f>
        <v>99.775000000000006</v>
      </c>
      <c r="U9" s="5"/>
      <c r="V9" s="5" t="e">
        <f t="shared" ref="V9:W9" si="3">AVERAGE(V5:V8)</f>
        <v>#DIV/0!</v>
      </c>
      <c r="W9" s="5">
        <f t="shared" si="3"/>
        <v>99.800000000000011</v>
      </c>
      <c r="X9" s="5">
        <f>AVERAGE(X5:X8)</f>
        <v>99.675000000000011</v>
      </c>
      <c r="Y9" s="5" t="e">
        <f>AVERAGE(Y5:Y8)</f>
        <v>#DIV/0!</v>
      </c>
      <c r="AA9" s="5"/>
      <c r="AB9" s="8">
        <f>AVERAGE(AB5:AB8)</f>
        <v>99.844999999999999</v>
      </c>
      <c r="AC9" s="5">
        <f>AVERAGE(AC5:AC8)</f>
        <v>99.675000000000011</v>
      </c>
      <c r="AD9" s="5">
        <f>AVERAGE(AD5:AD8)</f>
        <v>99.74499999999999</v>
      </c>
      <c r="AF9" s="5"/>
      <c r="AG9" s="5">
        <f>AVERAGE(AG5:AG8)</f>
        <v>99.694999999999993</v>
      </c>
      <c r="AH9" s="5">
        <f>AVERAGE(AH5:AH8)</f>
        <v>99.675000000000011</v>
      </c>
      <c r="AI9" s="5"/>
      <c r="AK9" s="5"/>
      <c r="AL9" s="5"/>
      <c r="AM9" s="5"/>
      <c r="AN9" s="5"/>
    </row>
    <row r="10" spans="1:40" x14ac:dyDescent="0.25">
      <c r="A10" s="20"/>
      <c r="B10" s="2">
        <v>41.82</v>
      </c>
      <c r="C10" s="2">
        <v>97.44</v>
      </c>
      <c r="D10" s="2">
        <v>99.26</v>
      </c>
      <c r="E10" s="2">
        <v>92.87</v>
      </c>
      <c r="G10" s="19" t="s">
        <v>1</v>
      </c>
      <c r="H10" s="2">
        <v>99.24</v>
      </c>
      <c r="I10" s="2">
        <v>99.04</v>
      </c>
      <c r="J10" s="2">
        <v>98.42</v>
      </c>
      <c r="K10" s="2">
        <v>99.08</v>
      </c>
      <c r="L10" s="2">
        <v>98.38</v>
      </c>
      <c r="N10" s="19" t="s">
        <v>1</v>
      </c>
      <c r="O10" s="2">
        <v>97.52</v>
      </c>
      <c r="P10" s="2">
        <v>98.24</v>
      </c>
      <c r="Q10" s="2">
        <v>99.2</v>
      </c>
      <c r="R10" s="2">
        <v>99.59</v>
      </c>
      <c r="S10" s="2">
        <v>98.42</v>
      </c>
      <c r="U10" s="19" t="s">
        <v>1</v>
      </c>
      <c r="V10" s="3">
        <v>99.57</v>
      </c>
      <c r="W10" s="2">
        <v>99.8</v>
      </c>
      <c r="X10" s="2">
        <v>99.59</v>
      </c>
      <c r="Y10" s="2">
        <v>98.94</v>
      </c>
      <c r="AA10" s="19" t="s">
        <v>1</v>
      </c>
      <c r="AB10" s="2">
        <v>98.18</v>
      </c>
      <c r="AC10" s="2">
        <v>99.62</v>
      </c>
      <c r="AD10" s="2">
        <v>98.01</v>
      </c>
      <c r="AF10" s="19" t="s">
        <v>1</v>
      </c>
      <c r="AG10" s="2"/>
      <c r="AH10" s="2">
        <v>99.62</v>
      </c>
      <c r="AI10" s="2"/>
      <c r="AK10" s="19" t="s">
        <v>1</v>
      </c>
      <c r="AL10" s="2"/>
      <c r="AM10" s="2"/>
      <c r="AN10" s="2"/>
    </row>
    <row r="11" spans="1:40" x14ac:dyDescent="0.25">
      <c r="A11" s="5"/>
      <c r="B11" s="5">
        <f t="shared" ref="B11:D11" si="4">AVERAGE(B7:B10)</f>
        <v>42.365000000000002</v>
      </c>
      <c r="C11" s="5">
        <f t="shared" si="4"/>
        <v>98.337499999999991</v>
      </c>
      <c r="D11" s="8">
        <f t="shared" si="4"/>
        <v>99.007499999999993</v>
      </c>
      <c r="E11" s="5">
        <f>AVERAGE(E7:E10)</f>
        <v>93.3125</v>
      </c>
      <c r="G11" s="20"/>
      <c r="H11" s="2">
        <v>99.84</v>
      </c>
      <c r="I11" s="2">
        <v>96.38</v>
      </c>
      <c r="J11" s="2">
        <v>99.77</v>
      </c>
      <c r="K11" s="2">
        <v>99.8</v>
      </c>
      <c r="L11" s="2">
        <v>99.84</v>
      </c>
      <c r="N11" s="20"/>
      <c r="O11" s="2">
        <v>99.49</v>
      </c>
      <c r="P11" s="2">
        <v>99.16</v>
      </c>
      <c r="Q11" s="2">
        <v>99.55</v>
      </c>
      <c r="R11" s="2">
        <v>99.82</v>
      </c>
      <c r="S11" s="2">
        <v>99.77</v>
      </c>
      <c r="U11" s="20"/>
      <c r="V11" s="4">
        <v>99.86</v>
      </c>
      <c r="W11" s="2">
        <v>99.8</v>
      </c>
      <c r="X11" s="2">
        <v>99.82</v>
      </c>
      <c r="Y11" s="2">
        <v>99.55</v>
      </c>
      <c r="AA11" s="20"/>
      <c r="AB11" s="2">
        <v>99.77</v>
      </c>
      <c r="AC11">
        <v>99.74</v>
      </c>
      <c r="AD11" s="2">
        <v>99.63</v>
      </c>
      <c r="AF11" s="20"/>
      <c r="AG11" s="2"/>
      <c r="AH11">
        <v>99.74</v>
      </c>
      <c r="AI11" s="2"/>
      <c r="AK11" s="20"/>
      <c r="AL11" s="2"/>
      <c r="AM11" s="2"/>
      <c r="AN11" s="2"/>
    </row>
    <row r="12" spans="1:40" x14ac:dyDescent="0.25">
      <c r="A12" s="19" t="s">
        <v>2</v>
      </c>
      <c r="B12" s="2"/>
      <c r="C12" s="2"/>
      <c r="D12" s="2">
        <v>99.78</v>
      </c>
      <c r="E12" s="2"/>
      <c r="G12" s="20"/>
      <c r="H12" s="2">
        <v>97.69</v>
      </c>
      <c r="I12" s="2">
        <v>97.38</v>
      </c>
      <c r="J12" s="2">
        <v>98.3</v>
      </c>
      <c r="K12" s="2">
        <v>97.87</v>
      </c>
      <c r="L12" s="2">
        <v>99.43</v>
      </c>
      <c r="N12" s="20"/>
      <c r="O12" s="2">
        <v>97.03</v>
      </c>
      <c r="P12" s="2">
        <v>98.73</v>
      </c>
      <c r="Q12" s="2">
        <v>97.91</v>
      </c>
      <c r="R12" s="2">
        <v>99.49</v>
      </c>
      <c r="S12" s="2">
        <v>98.3</v>
      </c>
      <c r="U12" s="20"/>
      <c r="V12" s="4">
        <v>98.77</v>
      </c>
      <c r="W12" s="2">
        <v>99.32</v>
      </c>
      <c r="X12" s="2">
        <v>99.49</v>
      </c>
      <c r="Y12" s="2">
        <v>98.57</v>
      </c>
      <c r="AA12" s="20"/>
      <c r="AB12" s="2">
        <v>98.1</v>
      </c>
      <c r="AC12" s="2">
        <v>99.74</v>
      </c>
      <c r="AD12" s="2">
        <v>97.03</v>
      </c>
      <c r="AF12" s="20"/>
      <c r="AG12" s="2"/>
      <c r="AH12" s="2">
        <v>99.74</v>
      </c>
      <c r="AI12" s="2"/>
      <c r="AK12" s="20"/>
      <c r="AL12" s="2"/>
      <c r="AM12" s="2"/>
      <c r="AN12" s="2"/>
    </row>
    <row r="13" spans="1:40" x14ac:dyDescent="0.25">
      <c r="A13" s="20"/>
      <c r="B13" s="2"/>
      <c r="C13" s="2"/>
      <c r="D13" s="2">
        <v>99.9</v>
      </c>
      <c r="E13" s="2"/>
      <c r="G13" s="20"/>
      <c r="H13" s="2">
        <v>99.26</v>
      </c>
      <c r="I13" s="2">
        <v>98.91</v>
      </c>
      <c r="J13" s="2">
        <v>99.3</v>
      </c>
      <c r="K13" s="2">
        <v>98.71</v>
      </c>
      <c r="L13" s="2">
        <v>98.77</v>
      </c>
      <c r="N13" s="20"/>
      <c r="O13" s="2">
        <v>96.68</v>
      </c>
      <c r="P13" s="2">
        <v>98.36</v>
      </c>
      <c r="Q13" s="2">
        <v>99.18</v>
      </c>
      <c r="R13" s="2">
        <v>99.04</v>
      </c>
      <c r="S13" s="2">
        <v>99.3</v>
      </c>
      <c r="U13" s="20"/>
      <c r="V13" s="4">
        <v>99.12</v>
      </c>
      <c r="W13" s="2">
        <v>99.65</v>
      </c>
      <c r="X13" s="2">
        <v>99.04</v>
      </c>
      <c r="Y13" s="2">
        <v>98.67</v>
      </c>
      <c r="AA13" s="20"/>
      <c r="AB13" s="2">
        <v>98.69</v>
      </c>
      <c r="AC13" s="2">
        <v>99.6</v>
      </c>
      <c r="AD13" s="2">
        <v>98.4</v>
      </c>
      <c r="AF13" s="20"/>
      <c r="AG13" s="2"/>
      <c r="AH13" s="2">
        <v>99.6</v>
      </c>
      <c r="AI13" s="2"/>
      <c r="AK13" s="20"/>
      <c r="AL13" s="2"/>
      <c r="AM13" s="2"/>
      <c r="AN13" s="2"/>
    </row>
    <row r="14" spans="1:40" x14ac:dyDescent="0.25">
      <c r="A14" s="20"/>
      <c r="B14" s="2"/>
      <c r="C14" s="2"/>
      <c r="D14" s="2">
        <v>99.8</v>
      </c>
      <c r="E14" s="2"/>
      <c r="G14" s="5"/>
      <c r="H14" s="5">
        <f>AVERAGE(H10:H13)</f>
        <v>99.007499999999993</v>
      </c>
      <c r="I14" s="5">
        <f t="shared" ref="I14:L14" si="5">AVERAGE(I10:I13)</f>
        <v>97.927500000000009</v>
      </c>
      <c r="J14" s="5">
        <f t="shared" si="5"/>
        <v>98.947500000000005</v>
      </c>
      <c r="K14" s="5">
        <f t="shared" si="5"/>
        <v>98.864999999999995</v>
      </c>
      <c r="L14" s="8">
        <f t="shared" si="5"/>
        <v>99.10499999999999</v>
      </c>
      <c r="N14" s="5"/>
      <c r="O14" s="5">
        <f t="shared" ref="O14:R14" si="6">AVERAGE(O10:O13)</f>
        <v>97.679999999999993</v>
      </c>
      <c r="P14" s="5">
        <f t="shared" si="6"/>
        <v>98.622500000000002</v>
      </c>
      <c r="Q14" s="5">
        <f t="shared" si="6"/>
        <v>98.96</v>
      </c>
      <c r="R14" s="8">
        <f t="shared" si="6"/>
        <v>99.484999999999999</v>
      </c>
      <c r="S14" s="5">
        <f>AVERAGE(S10:S13)</f>
        <v>98.947500000000005</v>
      </c>
      <c r="U14" s="5"/>
      <c r="V14" s="11">
        <f t="shared" ref="V14:X14" si="7">AVERAGE(V10:V13)</f>
        <v>99.33</v>
      </c>
      <c r="W14" s="8">
        <f t="shared" si="7"/>
        <v>99.642499999999984</v>
      </c>
      <c r="X14" s="10">
        <f t="shared" si="7"/>
        <v>99.484999999999999</v>
      </c>
      <c r="Y14" s="10">
        <f t="shared" ref="Y14" si="8">AVERAGE(Y10:Y13)</f>
        <v>98.932500000000005</v>
      </c>
      <c r="AA14" s="5"/>
      <c r="AB14" s="10">
        <f t="shared" ref="AB14:AD14" si="9">AVERAGE(AB10:AB13)</f>
        <v>98.684999999999988</v>
      </c>
      <c r="AC14" s="5">
        <f>AVERAGE(AC10:AC13)</f>
        <v>99.675000000000011</v>
      </c>
      <c r="AD14" s="10">
        <f t="shared" si="9"/>
        <v>98.267499999999984</v>
      </c>
      <c r="AF14" s="5"/>
      <c r="AG14" s="5"/>
      <c r="AH14" s="5">
        <f>AVERAGE(AH10:AH13)</f>
        <v>99.675000000000011</v>
      </c>
      <c r="AI14" s="5"/>
      <c r="AK14" s="5"/>
      <c r="AL14" s="5"/>
      <c r="AM14" s="5"/>
      <c r="AN14" s="5"/>
    </row>
    <row r="15" spans="1:40" x14ac:dyDescent="0.25">
      <c r="A15" s="20"/>
      <c r="B15" s="2"/>
      <c r="C15" s="2"/>
      <c r="D15" s="2">
        <v>99.94</v>
      </c>
      <c r="E15" s="2"/>
      <c r="G15" s="19" t="s">
        <v>2</v>
      </c>
      <c r="H15" s="2">
        <v>99.78</v>
      </c>
      <c r="I15" s="2">
        <v>99.9</v>
      </c>
      <c r="J15" s="2">
        <v>99.92</v>
      </c>
      <c r="K15" s="2">
        <v>99.86</v>
      </c>
      <c r="L15" s="2">
        <v>99.74</v>
      </c>
      <c r="N15" s="19" t="s">
        <v>2</v>
      </c>
      <c r="O15" s="2">
        <v>99.6</v>
      </c>
      <c r="P15" s="2">
        <v>99.84</v>
      </c>
      <c r="Q15" s="2">
        <v>99.88</v>
      </c>
      <c r="R15" s="2">
        <v>99.88</v>
      </c>
      <c r="S15" s="2">
        <v>99.92</v>
      </c>
      <c r="U15" s="19" t="s">
        <v>2</v>
      </c>
      <c r="V15" s="3">
        <v>99.94</v>
      </c>
      <c r="W15" s="2">
        <v>99.72</v>
      </c>
      <c r="X15" s="2">
        <v>99.88</v>
      </c>
      <c r="Y15" s="2">
        <v>99.74</v>
      </c>
      <c r="AA15" s="19" t="s">
        <v>2</v>
      </c>
      <c r="AB15" s="2"/>
      <c r="AC15" s="2">
        <v>99.88</v>
      </c>
      <c r="AD15" s="2"/>
      <c r="AF15" s="19" t="s">
        <v>2</v>
      </c>
      <c r="AG15" s="2"/>
      <c r="AH15" s="2">
        <v>99.88</v>
      </c>
      <c r="AI15" s="2"/>
      <c r="AK15" s="19" t="s">
        <v>2</v>
      </c>
      <c r="AL15" s="2"/>
      <c r="AM15" s="2"/>
      <c r="AN15" s="2"/>
    </row>
    <row r="16" spans="1:40" x14ac:dyDescent="0.25">
      <c r="A16" s="5"/>
      <c r="B16" s="5"/>
      <c r="C16" s="5"/>
      <c r="D16" s="5">
        <f>AVERAGE(D12:D15)</f>
        <v>99.855000000000004</v>
      </c>
      <c r="E16" s="5"/>
      <c r="G16" s="20"/>
      <c r="H16" s="2">
        <v>99.9</v>
      </c>
      <c r="I16" s="2">
        <v>99.88</v>
      </c>
      <c r="J16" s="2">
        <v>99.9</v>
      </c>
      <c r="K16" s="2">
        <v>99.84</v>
      </c>
      <c r="L16" s="2">
        <v>99.96</v>
      </c>
      <c r="N16" s="20"/>
      <c r="O16" s="2">
        <v>99.62</v>
      </c>
      <c r="P16" s="2">
        <v>99.88</v>
      </c>
      <c r="Q16" s="2">
        <v>99.92</v>
      </c>
      <c r="R16" s="2">
        <v>100</v>
      </c>
      <c r="S16" s="2">
        <v>99.9</v>
      </c>
      <c r="U16" s="20"/>
      <c r="V16" s="4">
        <v>99.78</v>
      </c>
      <c r="W16" s="2">
        <v>99.9</v>
      </c>
      <c r="X16" s="2">
        <v>100</v>
      </c>
      <c r="Y16" s="2">
        <v>99.78</v>
      </c>
      <c r="AA16" s="20"/>
      <c r="AB16" s="2"/>
      <c r="AC16" s="2">
        <v>100</v>
      </c>
      <c r="AD16" s="2"/>
      <c r="AF16" s="20"/>
      <c r="AG16" s="2"/>
      <c r="AH16" s="2">
        <v>100</v>
      </c>
      <c r="AI16" s="2"/>
      <c r="AK16" s="20"/>
      <c r="AL16" s="2"/>
      <c r="AM16" s="2"/>
      <c r="AN16" s="2"/>
    </row>
    <row r="17" spans="1:40" x14ac:dyDescent="0.25">
      <c r="A17" s="19" t="s">
        <v>3</v>
      </c>
      <c r="B17" s="2"/>
      <c r="C17" s="2">
        <v>99.55</v>
      </c>
      <c r="D17" s="2">
        <v>97.02</v>
      </c>
      <c r="E17" s="2"/>
      <c r="G17" s="20"/>
      <c r="H17" s="2">
        <v>99.8</v>
      </c>
      <c r="I17" s="2">
        <v>99.88</v>
      </c>
      <c r="J17" s="2">
        <v>99.78</v>
      </c>
      <c r="K17" s="2">
        <v>99.86</v>
      </c>
      <c r="L17" s="2">
        <v>99.72</v>
      </c>
      <c r="N17" s="20"/>
      <c r="O17" s="2">
        <v>99.66</v>
      </c>
      <c r="P17" s="2">
        <v>99.51</v>
      </c>
      <c r="Q17" s="2">
        <v>99.86</v>
      </c>
      <c r="R17" s="2">
        <v>99.94</v>
      </c>
      <c r="S17" s="2">
        <v>99.78</v>
      </c>
      <c r="U17" s="20"/>
      <c r="V17" s="4">
        <v>99.8</v>
      </c>
      <c r="W17" s="2">
        <v>100</v>
      </c>
      <c r="X17" s="2">
        <v>99.94</v>
      </c>
      <c r="Y17" s="2">
        <v>99.86</v>
      </c>
      <c r="AA17" s="20"/>
      <c r="AB17" s="2"/>
      <c r="AC17" s="2">
        <v>99.94</v>
      </c>
      <c r="AD17" s="2"/>
      <c r="AF17" s="20"/>
      <c r="AG17" s="2"/>
      <c r="AH17" s="2">
        <v>99.94</v>
      </c>
      <c r="AI17" s="2"/>
      <c r="AK17" s="20"/>
      <c r="AL17" s="2"/>
      <c r="AM17" s="2"/>
      <c r="AN17" s="2"/>
    </row>
    <row r="18" spans="1:40" x14ac:dyDescent="0.25">
      <c r="A18" s="20"/>
      <c r="B18" s="2"/>
      <c r="C18" s="2">
        <v>99.34</v>
      </c>
      <c r="D18" s="2">
        <v>99.41</v>
      </c>
      <c r="E18" s="2"/>
      <c r="G18" s="20"/>
      <c r="H18" s="2">
        <v>99.94</v>
      </c>
      <c r="I18" s="2">
        <v>99.86</v>
      </c>
      <c r="J18" s="2">
        <v>99.88</v>
      </c>
      <c r="K18" s="2">
        <v>99.76</v>
      </c>
      <c r="L18" s="2">
        <v>99.68</v>
      </c>
      <c r="N18" s="20"/>
      <c r="O18" s="2">
        <v>99.58</v>
      </c>
      <c r="P18" s="2">
        <v>99.49</v>
      </c>
      <c r="Q18" s="2">
        <v>99.92</v>
      </c>
      <c r="R18" s="2">
        <v>99.86</v>
      </c>
      <c r="S18" s="2">
        <v>99.88</v>
      </c>
      <c r="U18" s="20"/>
      <c r="V18" s="4">
        <v>99.84</v>
      </c>
      <c r="W18" s="2">
        <v>99.94</v>
      </c>
      <c r="X18" s="2">
        <v>99.86</v>
      </c>
      <c r="Y18" s="2">
        <v>99.88</v>
      </c>
      <c r="AA18" s="20"/>
      <c r="AB18" s="2"/>
      <c r="AC18" s="2">
        <v>99.86</v>
      </c>
      <c r="AD18" s="2"/>
      <c r="AF18" s="20"/>
      <c r="AG18" s="2"/>
      <c r="AH18" s="2">
        <v>99.86</v>
      </c>
      <c r="AI18" s="2"/>
      <c r="AK18" s="20"/>
      <c r="AL18" s="2"/>
      <c r="AM18" s="2"/>
      <c r="AN18" s="2"/>
    </row>
    <row r="19" spans="1:40" x14ac:dyDescent="0.25">
      <c r="A19" s="20"/>
      <c r="B19" s="2"/>
      <c r="C19" s="2">
        <v>97.33</v>
      </c>
      <c r="D19" s="2">
        <v>97.72</v>
      </c>
      <c r="E19" s="2"/>
      <c r="G19" s="5"/>
      <c r="H19" s="5">
        <f>AVERAGE(H15:H18)</f>
        <v>99.855000000000004</v>
      </c>
      <c r="I19" s="8">
        <f t="shared" ref="I19:L19" si="10">AVERAGE(I15:I18)</f>
        <v>99.88</v>
      </c>
      <c r="J19" s="5">
        <f t="shared" si="10"/>
        <v>99.87</v>
      </c>
      <c r="K19" s="5">
        <f t="shared" si="10"/>
        <v>99.83</v>
      </c>
      <c r="L19" s="5">
        <f t="shared" si="10"/>
        <v>99.774999999999991</v>
      </c>
      <c r="N19" s="5"/>
      <c r="O19" s="5">
        <f t="shared" ref="O19:R19" si="11">AVERAGE(O15:O18)</f>
        <v>99.614999999999995</v>
      </c>
      <c r="P19" s="5">
        <f t="shared" si="11"/>
        <v>99.68</v>
      </c>
      <c r="Q19" s="5">
        <f t="shared" si="11"/>
        <v>99.89500000000001</v>
      </c>
      <c r="R19" s="8">
        <f t="shared" si="11"/>
        <v>99.92</v>
      </c>
      <c r="S19" s="5">
        <f>AVERAGE(S15:S18)</f>
        <v>99.87</v>
      </c>
      <c r="U19" s="5"/>
      <c r="V19" s="10">
        <f t="shared" ref="V19:X19" si="12">AVERAGE(V15:V18)</f>
        <v>99.84</v>
      </c>
      <c r="W19" s="10">
        <f t="shared" si="12"/>
        <v>99.89</v>
      </c>
      <c r="X19" s="8">
        <f t="shared" si="12"/>
        <v>99.92</v>
      </c>
      <c r="Y19" s="10">
        <f t="shared" ref="Y19" si="13">AVERAGE(Y15:Y18)</f>
        <v>99.814999999999998</v>
      </c>
      <c r="AA19" s="5"/>
      <c r="AB19" s="5"/>
      <c r="AC19" s="8">
        <f t="shared" ref="AC19" si="14">AVERAGE(AC15:AC18)</f>
        <v>99.92</v>
      </c>
      <c r="AD19" s="5"/>
      <c r="AF19" s="5"/>
      <c r="AG19" s="5"/>
      <c r="AH19" s="8">
        <f t="shared" ref="AH19" si="15">AVERAGE(AH15:AH18)</f>
        <v>99.92</v>
      </c>
      <c r="AI19" s="5"/>
      <c r="AK19" s="5"/>
      <c r="AL19" s="5"/>
      <c r="AM19" s="5"/>
      <c r="AN19" s="5"/>
    </row>
    <row r="20" spans="1:40" x14ac:dyDescent="0.25">
      <c r="A20" s="20"/>
      <c r="B20" s="2"/>
      <c r="C20" s="2">
        <v>94.91</v>
      </c>
      <c r="D20" s="2">
        <v>94.62</v>
      </c>
      <c r="E20" s="2"/>
      <c r="G20" s="19" t="s">
        <v>3</v>
      </c>
      <c r="H20" s="2">
        <v>97.02</v>
      </c>
      <c r="I20" s="2">
        <v>99.57</v>
      </c>
      <c r="J20" s="2">
        <v>99.87</v>
      </c>
      <c r="K20" s="2">
        <v>96.11</v>
      </c>
      <c r="L20" s="2">
        <v>95.95</v>
      </c>
      <c r="N20" s="19" t="s">
        <v>3</v>
      </c>
      <c r="O20" s="2">
        <v>93.19</v>
      </c>
      <c r="P20" s="2">
        <v>97.81</v>
      </c>
      <c r="Q20" s="2">
        <v>97.6</v>
      </c>
      <c r="R20" s="2">
        <v>99.24</v>
      </c>
      <c r="S20" s="2">
        <v>99.87</v>
      </c>
      <c r="U20" s="19" t="s">
        <v>3</v>
      </c>
      <c r="V20" s="3">
        <v>96.77</v>
      </c>
      <c r="W20" s="2">
        <v>99.78</v>
      </c>
      <c r="X20" s="2">
        <v>99.24</v>
      </c>
      <c r="Y20" s="2">
        <v>96.05</v>
      </c>
      <c r="AA20" s="19" t="s">
        <v>3</v>
      </c>
      <c r="AB20" s="2">
        <v>99.89</v>
      </c>
      <c r="AC20" s="2">
        <v>99.24</v>
      </c>
      <c r="AD20" s="2">
        <v>99.69</v>
      </c>
      <c r="AF20" s="19" t="s">
        <v>3</v>
      </c>
      <c r="AG20" s="2">
        <v>96.92</v>
      </c>
      <c r="AH20" s="2">
        <v>99.24</v>
      </c>
      <c r="AI20" s="2"/>
      <c r="AK20" s="19" t="s">
        <v>3</v>
      </c>
      <c r="AL20" s="2"/>
      <c r="AM20" s="2"/>
      <c r="AN20" s="2"/>
    </row>
    <row r="21" spans="1:40" x14ac:dyDescent="0.25">
      <c r="A21" s="5"/>
      <c r="B21" s="5"/>
      <c r="C21" s="5">
        <f>AVERAGE(C17:C20)</f>
        <v>97.782499999999999</v>
      </c>
      <c r="D21" s="5">
        <f>AVERAGE(D17:D20)</f>
        <v>97.192499999999995</v>
      </c>
      <c r="E21" s="5"/>
      <c r="G21" s="20"/>
      <c r="H21" s="2">
        <v>99.41</v>
      </c>
      <c r="I21" s="2">
        <v>99.58</v>
      </c>
      <c r="J21" s="2">
        <v>96</v>
      </c>
      <c r="K21" s="2">
        <v>96.9</v>
      </c>
      <c r="L21" s="2">
        <v>95.24</v>
      </c>
      <c r="N21" s="20"/>
      <c r="O21" s="2">
        <v>92.56</v>
      </c>
      <c r="P21" s="2">
        <v>93.72</v>
      </c>
      <c r="Q21" s="2">
        <v>94.81</v>
      </c>
      <c r="R21" s="2">
        <v>99.72</v>
      </c>
      <c r="S21" s="2">
        <v>96</v>
      </c>
      <c r="U21" s="20"/>
      <c r="V21" s="4">
        <v>95.94</v>
      </c>
      <c r="W21" s="2">
        <v>94.43</v>
      </c>
      <c r="X21" s="2">
        <v>99.72</v>
      </c>
      <c r="Y21" s="2">
        <v>94.42</v>
      </c>
      <c r="AA21" s="20"/>
      <c r="AB21" s="2">
        <v>96.8</v>
      </c>
      <c r="AC21" s="2">
        <v>99.72</v>
      </c>
      <c r="AD21" s="2">
        <v>96.15</v>
      </c>
      <c r="AF21" s="20"/>
      <c r="AG21" s="2">
        <v>93.11</v>
      </c>
      <c r="AH21" s="2">
        <v>99.72</v>
      </c>
      <c r="AI21" s="2"/>
      <c r="AK21" s="20"/>
      <c r="AL21" s="2"/>
      <c r="AM21" s="2"/>
      <c r="AN21" s="2"/>
    </row>
    <row r="22" spans="1:40" x14ac:dyDescent="0.25">
      <c r="G22" s="20"/>
      <c r="H22" s="2">
        <v>97.72</v>
      </c>
      <c r="I22" s="2">
        <v>96.08</v>
      </c>
      <c r="J22" s="2">
        <v>96.21</v>
      </c>
      <c r="K22" s="2">
        <v>96.18</v>
      </c>
      <c r="L22" s="2">
        <v>99.85</v>
      </c>
      <c r="N22" s="20"/>
      <c r="O22" s="2">
        <v>96.18</v>
      </c>
      <c r="P22" s="2">
        <v>96.49</v>
      </c>
      <c r="Q22" s="2">
        <v>96.43</v>
      </c>
      <c r="R22" s="2">
        <v>99.54</v>
      </c>
      <c r="S22" s="2">
        <v>96.21</v>
      </c>
      <c r="U22" s="20"/>
      <c r="V22" s="4">
        <v>97.09</v>
      </c>
      <c r="W22" s="2">
        <v>98.18</v>
      </c>
      <c r="X22" s="2">
        <v>99.54</v>
      </c>
      <c r="Y22" s="2">
        <v>99.52</v>
      </c>
      <c r="AA22" s="20"/>
      <c r="AB22" s="2">
        <v>96.16</v>
      </c>
      <c r="AC22" s="2">
        <v>99.54</v>
      </c>
      <c r="AD22" s="2">
        <v>96.83</v>
      </c>
      <c r="AF22" s="20"/>
      <c r="AG22" s="2">
        <v>98.69</v>
      </c>
      <c r="AH22" s="2">
        <v>99.54</v>
      </c>
      <c r="AI22" s="2"/>
      <c r="AK22" s="20"/>
      <c r="AL22" s="2"/>
      <c r="AM22" s="2"/>
      <c r="AN22" s="2"/>
    </row>
    <row r="23" spans="1:40" x14ac:dyDescent="0.25">
      <c r="G23" s="20"/>
      <c r="H23" s="2">
        <v>94.62</v>
      </c>
      <c r="I23" s="2">
        <v>94.22</v>
      </c>
      <c r="J23" s="2">
        <v>99.94</v>
      </c>
      <c r="K23" s="2">
        <v>94.38</v>
      </c>
      <c r="L23" s="2">
        <v>94.22</v>
      </c>
      <c r="N23" s="20"/>
      <c r="O23" s="2">
        <v>95.13</v>
      </c>
      <c r="P23" s="2">
        <v>94.11</v>
      </c>
      <c r="Q23" s="2">
        <v>96.15</v>
      </c>
      <c r="R23" s="2">
        <v>96.22</v>
      </c>
      <c r="S23" s="2">
        <v>99.94</v>
      </c>
      <c r="U23" s="20"/>
      <c r="V23" s="4">
        <v>94.48</v>
      </c>
      <c r="W23" s="2">
        <v>92.21</v>
      </c>
      <c r="X23" s="2">
        <v>96.22</v>
      </c>
      <c r="Y23" s="2">
        <v>95.44</v>
      </c>
      <c r="AA23" s="20"/>
      <c r="AB23" s="2">
        <v>94.35</v>
      </c>
      <c r="AC23" s="2">
        <v>96.22</v>
      </c>
      <c r="AD23" s="2">
        <v>94.31</v>
      </c>
      <c r="AF23" s="20"/>
      <c r="AG23" s="2">
        <v>99.77</v>
      </c>
      <c r="AH23" s="2">
        <v>96.22</v>
      </c>
      <c r="AI23" s="2"/>
      <c r="AK23" s="20"/>
      <c r="AL23" s="2"/>
      <c r="AM23" s="2"/>
      <c r="AN23" s="2"/>
    </row>
    <row r="24" spans="1:40" x14ac:dyDescent="0.25">
      <c r="G24" s="5"/>
      <c r="H24" s="5">
        <f>AVERAGE(H20:H23)</f>
        <v>97.192499999999995</v>
      </c>
      <c r="I24" s="5">
        <f t="shared" ref="I24:L24" si="16">AVERAGE(I20:I23)</f>
        <v>97.362499999999983</v>
      </c>
      <c r="J24" s="8">
        <f t="shared" si="16"/>
        <v>98.004999999999995</v>
      </c>
      <c r="K24" s="5">
        <f t="shared" si="16"/>
        <v>95.892499999999998</v>
      </c>
      <c r="L24" s="5">
        <f t="shared" si="16"/>
        <v>96.314999999999998</v>
      </c>
      <c r="N24" s="5"/>
      <c r="O24" s="5">
        <f t="shared" ref="O24:R24" si="17">AVERAGE(O20:O23)</f>
        <v>94.265000000000001</v>
      </c>
      <c r="P24" s="5">
        <f t="shared" si="17"/>
        <v>95.532499999999999</v>
      </c>
      <c r="Q24" s="5">
        <f t="shared" si="17"/>
        <v>96.247500000000002</v>
      </c>
      <c r="R24" s="8">
        <f t="shared" si="17"/>
        <v>98.68</v>
      </c>
      <c r="S24" s="5">
        <f>AVERAGE(S20:S23)</f>
        <v>98.004999999999995</v>
      </c>
      <c r="U24" s="5"/>
      <c r="V24" s="10">
        <f t="shared" ref="V24:X24" si="18">AVERAGE(V20:V23)</f>
        <v>96.07</v>
      </c>
      <c r="W24" s="10">
        <f t="shared" si="18"/>
        <v>96.149999999999991</v>
      </c>
      <c r="X24" s="8">
        <f t="shared" si="18"/>
        <v>98.68</v>
      </c>
      <c r="Y24" s="10">
        <f t="shared" ref="Y24" si="19">AVERAGE(Y20:Y23)</f>
        <v>96.357500000000002</v>
      </c>
      <c r="AA24" s="5"/>
      <c r="AB24" s="10">
        <f t="shared" ref="AB24:AD24" si="20">AVERAGE(AB20:AB23)</f>
        <v>96.800000000000011</v>
      </c>
      <c r="AC24" s="8">
        <f t="shared" si="20"/>
        <v>98.68</v>
      </c>
      <c r="AD24" s="10">
        <f t="shared" si="20"/>
        <v>96.745000000000005</v>
      </c>
      <c r="AF24" s="5"/>
      <c r="AG24" s="10">
        <f t="shared" ref="AG24:AH24" si="21">AVERAGE(AG20:AG23)</f>
        <v>97.122500000000002</v>
      </c>
      <c r="AH24" s="10">
        <f t="shared" si="21"/>
        <v>98.68</v>
      </c>
      <c r="AI24" s="5"/>
      <c r="AK24" s="5"/>
      <c r="AL24" s="5"/>
      <c r="AM24" s="5"/>
      <c r="AN24" s="5"/>
    </row>
    <row r="25" spans="1:40" x14ac:dyDescent="0.25">
      <c r="A25" s="18" t="s">
        <v>72</v>
      </c>
      <c r="J25" s="18" t="s">
        <v>73</v>
      </c>
      <c r="Q25" s="13" t="s">
        <v>26</v>
      </c>
      <c r="W25" s="13" t="s">
        <v>21</v>
      </c>
      <c r="AB25" s="13" t="s">
        <v>27</v>
      </c>
      <c r="AG25" s="13" t="s">
        <v>28</v>
      </c>
    </row>
    <row r="26" spans="1:40" x14ac:dyDescent="0.25">
      <c r="A26" s="6"/>
      <c r="B26" s="7" t="s">
        <v>14</v>
      </c>
      <c r="C26" s="7" t="s">
        <v>15</v>
      </c>
      <c r="D26" s="7" t="s">
        <v>16</v>
      </c>
      <c r="E26" s="7" t="s">
        <v>17</v>
      </c>
      <c r="F26" s="7" t="s">
        <v>18</v>
      </c>
      <c r="G26" s="7" t="s">
        <v>19</v>
      </c>
      <c r="H26" s="7" t="s">
        <v>20</v>
      </c>
      <c r="J26" s="6"/>
      <c r="K26" s="7" t="s">
        <v>0</v>
      </c>
      <c r="L26" s="7" t="s">
        <v>1</v>
      </c>
      <c r="M26" s="7" t="s">
        <v>2</v>
      </c>
      <c r="N26" s="7" t="s">
        <v>3</v>
      </c>
      <c r="Q26" s="12" t="s">
        <v>7</v>
      </c>
      <c r="R26" s="12">
        <v>1</v>
      </c>
      <c r="S26" s="12">
        <v>0.5</v>
      </c>
      <c r="T26" s="12">
        <v>0.3</v>
      </c>
      <c r="U26" s="12">
        <v>0.7</v>
      </c>
      <c r="W26" s="1" t="s">
        <v>7</v>
      </c>
      <c r="X26" s="12">
        <v>0.5</v>
      </c>
      <c r="Y26" s="9">
        <v>0.7</v>
      </c>
      <c r="Z26" s="12">
        <v>1</v>
      </c>
      <c r="AB26" s="7" t="s">
        <v>24</v>
      </c>
      <c r="AC26" s="6">
        <v>5.0000000000000001E-4</v>
      </c>
      <c r="AD26" s="6">
        <v>1E-3</v>
      </c>
      <c r="AE26" s="6">
        <v>0.01</v>
      </c>
      <c r="AG26" s="7" t="s">
        <v>29</v>
      </c>
      <c r="AH26" s="6">
        <v>1</v>
      </c>
      <c r="AI26" s="6">
        <v>0.7</v>
      </c>
      <c r="AJ26" s="6">
        <v>1.5</v>
      </c>
      <c r="AK26" s="6">
        <v>0.3</v>
      </c>
    </row>
    <row r="27" spans="1:40" x14ac:dyDescent="0.25">
      <c r="A27" s="21" t="s">
        <v>0</v>
      </c>
      <c r="B27" s="2">
        <v>99.92</v>
      </c>
      <c r="C27" s="2">
        <v>89.65</v>
      </c>
      <c r="D27" s="2">
        <v>99.82</v>
      </c>
      <c r="E27" s="2">
        <v>96.28</v>
      </c>
      <c r="F27" s="2">
        <v>99.84</v>
      </c>
      <c r="G27" s="2">
        <v>97.66</v>
      </c>
      <c r="H27" s="2">
        <v>99.62</v>
      </c>
      <c r="J27" s="31" t="s">
        <v>20</v>
      </c>
      <c r="K27" s="2">
        <v>99.62</v>
      </c>
      <c r="L27" s="2">
        <v>99.59</v>
      </c>
      <c r="M27" s="2">
        <v>99.88</v>
      </c>
      <c r="N27" s="2">
        <v>99.24</v>
      </c>
      <c r="Q27" s="19" t="s">
        <v>3</v>
      </c>
      <c r="R27" s="2">
        <v>73.586699999999993</v>
      </c>
      <c r="S27" s="2">
        <v>81.968800000000002</v>
      </c>
      <c r="T27" s="2">
        <v>81.042900000000003</v>
      </c>
      <c r="U27" s="2">
        <v>80.994200000000006</v>
      </c>
      <c r="W27" s="19" t="s">
        <v>0</v>
      </c>
      <c r="X27" s="2"/>
      <c r="Y27" s="2"/>
      <c r="Z27" s="2"/>
      <c r="AB27" s="19" t="s">
        <v>0</v>
      </c>
      <c r="AC27" s="2">
        <v>99.608199999999997</v>
      </c>
      <c r="AD27" s="2"/>
      <c r="AE27" s="2"/>
      <c r="AG27" s="19" t="s">
        <v>0</v>
      </c>
      <c r="AH27" s="2"/>
      <c r="AI27" s="2"/>
      <c r="AJ27" s="2"/>
      <c r="AK27" s="2"/>
    </row>
    <row r="28" spans="1:40" x14ac:dyDescent="0.25">
      <c r="A28" s="22"/>
      <c r="B28" s="2">
        <v>99.8</v>
      </c>
      <c r="C28" s="2">
        <v>90.06</v>
      </c>
      <c r="D28" s="2">
        <v>99.74</v>
      </c>
      <c r="E28" s="2">
        <v>93.44</v>
      </c>
      <c r="F28" s="2">
        <v>99.68</v>
      </c>
      <c r="G28" s="2">
        <v>99.59</v>
      </c>
      <c r="H28" s="2">
        <v>99.74</v>
      </c>
      <c r="J28" s="32"/>
      <c r="K28">
        <v>99.74</v>
      </c>
      <c r="L28" s="2">
        <v>99.82</v>
      </c>
      <c r="M28" s="2">
        <v>100</v>
      </c>
      <c r="N28" s="2">
        <v>99.72</v>
      </c>
      <c r="Q28" s="20"/>
      <c r="R28" s="2">
        <v>76.462000000000003</v>
      </c>
      <c r="S28" s="2">
        <v>78.801199999999994</v>
      </c>
      <c r="T28" s="2">
        <v>77.046800000000005</v>
      </c>
      <c r="U28" s="2">
        <v>75.292400000000001</v>
      </c>
      <c r="W28" s="19"/>
      <c r="X28" s="2"/>
      <c r="Y28" s="2"/>
      <c r="Z28" s="2"/>
      <c r="AB28" s="20"/>
      <c r="AC28" s="2">
        <v>99.118499999999997</v>
      </c>
      <c r="AD28" s="2"/>
      <c r="AE28" s="2"/>
      <c r="AG28" s="20"/>
      <c r="AH28" s="2"/>
      <c r="AI28" s="2"/>
      <c r="AJ28" s="2"/>
      <c r="AK28" s="2"/>
    </row>
    <row r="29" spans="1:40" x14ac:dyDescent="0.25">
      <c r="A29" s="22"/>
      <c r="B29" s="2">
        <v>99.96</v>
      </c>
      <c r="C29" s="2">
        <v>88.91</v>
      </c>
      <c r="D29" s="2">
        <v>99.84</v>
      </c>
      <c r="E29" s="2">
        <v>95.82</v>
      </c>
      <c r="F29" s="2">
        <v>99.7</v>
      </c>
      <c r="G29" s="2">
        <v>96.23</v>
      </c>
      <c r="H29" s="2">
        <v>99.74</v>
      </c>
      <c r="J29" s="32"/>
      <c r="K29" s="2">
        <v>99.74</v>
      </c>
      <c r="L29" s="2">
        <v>99.49</v>
      </c>
      <c r="M29" s="2">
        <v>99.94</v>
      </c>
      <c r="N29" s="2">
        <v>99.54</v>
      </c>
      <c r="Q29" s="20"/>
      <c r="R29" s="2">
        <v>79.093599999999995</v>
      </c>
      <c r="S29" s="2">
        <v>78.3626</v>
      </c>
      <c r="T29" s="2">
        <v>74.171499999999995</v>
      </c>
      <c r="U29" s="2">
        <v>76.364500000000007</v>
      </c>
      <c r="W29" s="19"/>
      <c r="X29" s="2"/>
      <c r="Y29" s="2"/>
      <c r="Z29" s="2"/>
      <c r="AB29" s="20"/>
      <c r="AC29" s="2">
        <v>99.608199999999997</v>
      </c>
      <c r="AD29" s="2"/>
      <c r="AE29" s="2"/>
      <c r="AG29" s="20"/>
      <c r="AH29" s="2"/>
      <c r="AI29" s="2"/>
      <c r="AJ29" s="2"/>
      <c r="AK29" s="2"/>
    </row>
    <row r="30" spans="1:40" x14ac:dyDescent="0.25">
      <c r="A30" s="22"/>
      <c r="B30" s="2">
        <v>99.94</v>
      </c>
      <c r="C30" s="2">
        <v>91.26</v>
      </c>
      <c r="D30" s="2">
        <v>99.76</v>
      </c>
      <c r="E30" s="2">
        <v>94.2</v>
      </c>
      <c r="F30" s="2">
        <v>99.74</v>
      </c>
      <c r="G30" s="2">
        <v>94.12</v>
      </c>
      <c r="H30" s="2">
        <v>99.6</v>
      </c>
      <c r="J30" s="33"/>
      <c r="K30" s="2">
        <v>99.6</v>
      </c>
      <c r="L30" s="2">
        <v>99.04</v>
      </c>
      <c r="M30" s="2">
        <v>99.86</v>
      </c>
      <c r="N30" s="2">
        <v>96.22</v>
      </c>
      <c r="Q30" s="20"/>
      <c r="R30" s="2">
        <v>75.438599999999994</v>
      </c>
      <c r="S30" s="2">
        <v>82.114999999999995</v>
      </c>
      <c r="T30" s="1" t="s">
        <v>25</v>
      </c>
      <c r="U30" s="2">
        <v>78.265100000000004</v>
      </c>
      <c r="W30" s="19"/>
      <c r="X30" s="2"/>
      <c r="Y30" s="2"/>
      <c r="Z30" s="2"/>
      <c r="AB30" s="20"/>
      <c r="AC30" s="2">
        <v>100</v>
      </c>
      <c r="AD30" s="2"/>
      <c r="AE30" s="2"/>
      <c r="AG30" s="20"/>
      <c r="AH30" s="2"/>
      <c r="AI30" s="2"/>
      <c r="AJ30" s="2"/>
      <c r="AK30" s="2"/>
    </row>
    <row r="31" spans="1:40" x14ac:dyDescent="0.25">
      <c r="A31" s="5"/>
      <c r="B31" s="8">
        <f t="shared" ref="B31:G31" si="22">AVERAGE(B27:B30)</f>
        <v>99.905000000000001</v>
      </c>
      <c r="C31" s="5">
        <f t="shared" si="22"/>
        <v>89.97</v>
      </c>
      <c r="D31" s="15">
        <f t="shared" si="22"/>
        <v>99.789999999999992</v>
      </c>
      <c r="E31" s="5">
        <f t="shared" si="22"/>
        <v>94.934999999999988</v>
      </c>
      <c r="F31" s="15">
        <f t="shared" si="22"/>
        <v>99.740000000000009</v>
      </c>
      <c r="G31" s="5">
        <f t="shared" si="22"/>
        <v>96.9</v>
      </c>
      <c r="H31" s="5">
        <f>AVERAGE(H27:H30)</f>
        <v>99.675000000000011</v>
      </c>
      <c r="J31" s="5"/>
      <c r="K31" s="8">
        <f>AVERAGE(K27:K30)</f>
        <v>99.675000000000011</v>
      </c>
      <c r="L31" s="8">
        <f t="shared" ref="L31:N31" si="23">AVERAGE(L27:L30)</f>
        <v>99.484999999999999</v>
      </c>
      <c r="M31" s="8">
        <f t="shared" si="23"/>
        <v>99.92</v>
      </c>
      <c r="N31" s="8">
        <f t="shared" si="23"/>
        <v>98.68</v>
      </c>
      <c r="Q31" s="5"/>
      <c r="R31" s="5">
        <f>AVERAGE(R27:R30)</f>
        <v>76.145224999999996</v>
      </c>
      <c r="S31" s="5">
        <f t="shared" ref="S31:U31" si="24">AVERAGE(S27:S30)</f>
        <v>80.311899999999994</v>
      </c>
      <c r="T31" s="5">
        <f t="shared" si="24"/>
        <v>77.420399999999987</v>
      </c>
      <c r="U31" s="5">
        <f t="shared" si="24"/>
        <v>77.729050000000015</v>
      </c>
      <c r="W31" s="5"/>
      <c r="X31" s="5"/>
      <c r="Y31" s="5"/>
      <c r="Z31" s="5"/>
      <c r="AB31" s="5"/>
      <c r="AC31" s="5">
        <f>AVERAGE(AC27:AC30)</f>
        <v>99.583725000000001</v>
      </c>
      <c r="AD31" s="5"/>
      <c r="AE31" s="5"/>
      <c r="AG31" s="5"/>
      <c r="AH31" s="5"/>
      <c r="AI31" s="5"/>
      <c r="AJ31" s="5"/>
      <c r="AK31" s="5"/>
    </row>
    <row r="32" spans="1:40" x14ac:dyDescent="0.25">
      <c r="A32" s="21" t="s">
        <v>1</v>
      </c>
      <c r="B32" s="2">
        <v>97.02</v>
      </c>
      <c r="C32" s="2">
        <v>73.56</v>
      </c>
      <c r="D32" s="2">
        <v>99.06</v>
      </c>
      <c r="E32" s="2">
        <v>93.87</v>
      </c>
      <c r="F32" s="2">
        <v>98.67</v>
      </c>
      <c r="G32" s="2">
        <v>99.73</v>
      </c>
      <c r="H32" s="2">
        <v>99.59</v>
      </c>
      <c r="J32" s="23" t="s">
        <v>21</v>
      </c>
      <c r="K32" s="2">
        <v>98.139099999999999</v>
      </c>
      <c r="L32" s="2">
        <v>83.473399999999998</v>
      </c>
      <c r="M32" s="2">
        <v>94.695499999999996</v>
      </c>
      <c r="N32" s="2">
        <v>81.968800000000002</v>
      </c>
      <c r="Q32" s="19" t="s">
        <v>1</v>
      </c>
      <c r="R32" s="2"/>
      <c r="S32" s="2">
        <v>83.473399999999998</v>
      </c>
      <c r="T32" s="2"/>
      <c r="U32" s="2"/>
      <c r="W32" s="19" t="s">
        <v>1</v>
      </c>
      <c r="X32" s="2"/>
      <c r="Y32" s="2"/>
      <c r="Z32" s="2"/>
      <c r="AB32" s="19" t="s">
        <v>1</v>
      </c>
      <c r="AC32" s="2">
        <v>92.436999999999998</v>
      </c>
      <c r="AD32" s="2">
        <v>91.0364</v>
      </c>
      <c r="AE32" s="2">
        <v>80.672300000000007</v>
      </c>
      <c r="AG32" s="19" t="s">
        <v>1</v>
      </c>
      <c r="AH32" s="2">
        <v>84.323700000000002</v>
      </c>
      <c r="AI32" s="2">
        <v>77.030799999999999</v>
      </c>
      <c r="AJ32" s="2">
        <v>100</v>
      </c>
      <c r="AK32" s="2"/>
    </row>
    <row r="33" spans="1:37" x14ac:dyDescent="0.25">
      <c r="A33" s="22"/>
      <c r="B33" s="2">
        <v>99.86</v>
      </c>
      <c r="C33" s="2">
        <v>67.89</v>
      </c>
      <c r="D33" s="2">
        <v>99.67</v>
      </c>
      <c r="E33" s="2">
        <v>94.39</v>
      </c>
      <c r="F33" s="2">
        <v>99.84</v>
      </c>
      <c r="G33" s="2">
        <v>98.39</v>
      </c>
      <c r="H33" s="2">
        <v>99.82</v>
      </c>
      <c r="J33" s="24"/>
      <c r="K33" s="2">
        <v>99.020600000000002</v>
      </c>
      <c r="L33" s="2">
        <v>89.635900000000007</v>
      </c>
      <c r="M33" s="2">
        <v>96.561899999999994</v>
      </c>
      <c r="N33" s="2">
        <v>78.801199999999994</v>
      </c>
      <c r="Q33" s="20"/>
      <c r="R33" s="2"/>
      <c r="S33" s="2">
        <v>89.635900000000007</v>
      </c>
      <c r="T33" s="2"/>
      <c r="U33" s="2"/>
      <c r="W33" s="20"/>
      <c r="X33" s="2"/>
      <c r="Y33" s="2"/>
      <c r="Z33" s="2"/>
      <c r="AB33" s="20"/>
      <c r="AC33" s="2">
        <v>90.756299999999996</v>
      </c>
      <c r="AD33" s="2">
        <v>90.102699999999999</v>
      </c>
      <c r="AE33" s="2">
        <v>83.286600000000007</v>
      </c>
      <c r="AG33" s="20"/>
      <c r="AH33" s="2">
        <v>84.687200000000004</v>
      </c>
      <c r="AI33" s="2">
        <v>79.831900000000005</v>
      </c>
      <c r="AJ33" s="2">
        <v>81.886099999999999</v>
      </c>
      <c r="AK33" s="2"/>
    </row>
    <row r="34" spans="1:37" x14ac:dyDescent="0.25">
      <c r="A34" s="22"/>
      <c r="B34" s="2">
        <v>96.09</v>
      </c>
      <c r="C34" s="2">
        <v>76.430000000000007</v>
      </c>
      <c r="D34" s="2">
        <v>98.3</v>
      </c>
      <c r="E34" s="2">
        <v>96.23</v>
      </c>
      <c r="F34" s="2">
        <v>97.83</v>
      </c>
      <c r="G34" s="2">
        <v>94.96</v>
      </c>
      <c r="H34" s="2">
        <v>99.49</v>
      </c>
      <c r="J34" s="24"/>
      <c r="K34" s="2">
        <v>96.474000000000004</v>
      </c>
      <c r="L34" s="2">
        <v>98.412700000000001</v>
      </c>
      <c r="M34" s="2">
        <v>91.944999999999993</v>
      </c>
      <c r="N34" s="2">
        <v>78.3626</v>
      </c>
      <c r="Q34" s="20"/>
      <c r="R34" s="2"/>
      <c r="S34" s="2">
        <v>98.412700000000001</v>
      </c>
      <c r="T34" s="2"/>
      <c r="U34" s="2"/>
      <c r="W34" s="20"/>
      <c r="X34" s="2"/>
      <c r="Y34" s="2"/>
      <c r="Z34" s="2"/>
      <c r="AB34" s="20"/>
      <c r="AC34" s="2">
        <v>92.250200000000007</v>
      </c>
      <c r="AD34" s="2">
        <v>91.7834</v>
      </c>
      <c r="AE34" s="2">
        <v>81.699299999999994</v>
      </c>
      <c r="AG34" s="20"/>
      <c r="AH34" s="2">
        <v>80.018699999999995</v>
      </c>
      <c r="AI34" s="2">
        <v>72.362300000000005</v>
      </c>
      <c r="AJ34" s="2">
        <v>82.352900000000005</v>
      </c>
      <c r="AK34" s="2"/>
    </row>
    <row r="35" spans="1:37" x14ac:dyDescent="0.25">
      <c r="A35" s="22"/>
      <c r="B35" s="2">
        <v>94.27</v>
      </c>
      <c r="C35" s="2">
        <v>71.349999999999994</v>
      </c>
      <c r="D35" s="2">
        <v>99.3</v>
      </c>
      <c r="E35" s="2">
        <v>94.3</v>
      </c>
      <c r="F35" s="2">
        <v>99.59</v>
      </c>
      <c r="G35" s="2">
        <v>99.84</v>
      </c>
      <c r="H35" s="2">
        <v>99.04</v>
      </c>
      <c r="J35" s="25"/>
      <c r="K35" s="2">
        <v>99.510300000000001</v>
      </c>
      <c r="L35" s="2">
        <v>84.033600000000007</v>
      </c>
      <c r="M35" s="2">
        <v>98.428299999999993</v>
      </c>
      <c r="N35" s="2">
        <v>82.114999999999995</v>
      </c>
      <c r="Q35" s="20"/>
      <c r="R35" s="2"/>
      <c r="S35" s="2">
        <v>84.033600000000007</v>
      </c>
      <c r="T35" s="2"/>
      <c r="U35" s="2"/>
      <c r="W35" s="20"/>
      <c r="X35" s="2"/>
      <c r="Y35" s="2"/>
      <c r="Z35" s="2"/>
      <c r="AB35" s="20"/>
      <c r="AC35" s="2">
        <v>91.596599999999995</v>
      </c>
      <c r="AD35" s="2">
        <v>91.69</v>
      </c>
      <c r="AE35" s="2">
        <v>77.310900000000004</v>
      </c>
      <c r="AG35" s="20"/>
      <c r="AH35" s="2">
        <v>99.813299999999998</v>
      </c>
      <c r="AI35" s="2">
        <v>82.352900000000005</v>
      </c>
      <c r="AJ35" s="2">
        <v>85.620900000000006</v>
      </c>
      <c r="AK35" s="2"/>
    </row>
    <row r="36" spans="1:37" x14ac:dyDescent="0.25">
      <c r="A36" s="5"/>
      <c r="B36" s="10">
        <f t="shared" ref="B36:G36" si="25">AVERAGE(B32:B35)</f>
        <v>96.81</v>
      </c>
      <c r="C36" s="10">
        <f t="shared" si="25"/>
        <v>72.307500000000005</v>
      </c>
      <c r="D36" s="10">
        <f t="shared" si="25"/>
        <v>99.08250000000001</v>
      </c>
      <c r="E36" s="10">
        <f t="shared" si="25"/>
        <v>94.697500000000005</v>
      </c>
      <c r="F36" s="10">
        <f t="shared" si="25"/>
        <v>98.982499999999987</v>
      </c>
      <c r="G36" s="10">
        <f t="shared" si="25"/>
        <v>98.22999999999999</v>
      </c>
      <c r="H36" s="8">
        <f t="shared" ref="H36" si="26">AVERAGE(H32:H35)</f>
        <v>99.484999999999999</v>
      </c>
      <c r="J36" s="5"/>
      <c r="K36" s="5">
        <f>AVERAGE(K32:K35)</f>
        <v>98.286000000000001</v>
      </c>
      <c r="L36" s="5">
        <f t="shared" ref="L36:N36" si="27">AVERAGE(L32:L35)</f>
        <v>88.888900000000007</v>
      </c>
      <c r="M36" s="5">
        <f t="shared" si="27"/>
        <v>95.407674999999998</v>
      </c>
      <c r="N36" s="5">
        <f t="shared" si="27"/>
        <v>80.311899999999994</v>
      </c>
      <c r="Q36" s="5"/>
      <c r="R36" s="5"/>
      <c r="S36" s="5"/>
      <c r="T36" s="5"/>
      <c r="U36" s="5"/>
      <c r="W36" s="5"/>
      <c r="X36" s="5"/>
      <c r="Y36" s="5"/>
      <c r="Z36" s="5"/>
      <c r="AB36" s="5"/>
      <c r="AC36" s="5">
        <f>AVERAGE(AC32:AC35)</f>
        <v>91.760024999999985</v>
      </c>
      <c r="AD36" s="5">
        <f t="shared" ref="AD36:AE36" si="28">AVERAGE(AD32:AD35)</f>
        <v>91.153125000000003</v>
      </c>
      <c r="AE36" s="5">
        <f t="shared" si="28"/>
        <v>80.742275000000006</v>
      </c>
      <c r="AG36" s="5"/>
      <c r="AH36" s="5">
        <f>AVERAGE(AH32:AH35)</f>
        <v>87.210724999999996</v>
      </c>
      <c r="AI36" s="5">
        <f>AVERAGE(AI32:AI35)</f>
        <v>77.894475</v>
      </c>
      <c r="AJ36" s="5">
        <f>AVERAGE(AJ32:AJ35)</f>
        <v>87.46497500000001</v>
      </c>
      <c r="AK36" s="5"/>
    </row>
    <row r="37" spans="1:37" x14ac:dyDescent="0.25">
      <c r="A37" s="21" t="s">
        <v>2</v>
      </c>
      <c r="B37" s="2">
        <v>99.94</v>
      </c>
      <c r="C37" s="2">
        <v>90.42</v>
      </c>
      <c r="D37" s="2">
        <v>99.86</v>
      </c>
      <c r="E37" s="2">
        <v>99.88</v>
      </c>
      <c r="F37" s="2">
        <v>99.74</v>
      </c>
      <c r="G37" s="2">
        <v>96.43</v>
      </c>
      <c r="H37" s="2">
        <v>99.88</v>
      </c>
      <c r="J37" s="23" t="s">
        <v>30</v>
      </c>
      <c r="K37" s="2">
        <v>100</v>
      </c>
      <c r="L37" s="2">
        <v>98.412700000000001</v>
      </c>
      <c r="M37" s="2">
        <v>98.132599999999996</v>
      </c>
      <c r="N37" s="2">
        <v>97.855800000000002</v>
      </c>
      <c r="Q37" s="19" t="s">
        <v>2</v>
      </c>
      <c r="R37" s="2"/>
      <c r="S37" s="2">
        <v>94.695499999999996</v>
      </c>
      <c r="T37" s="2"/>
      <c r="U37" s="2"/>
      <c r="W37" s="19" t="s">
        <v>2</v>
      </c>
      <c r="X37" s="2"/>
      <c r="Y37" s="2"/>
      <c r="Z37" s="2"/>
      <c r="AB37" s="19" t="s">
        <v>2</v>
      </c>
      <c r="AC37" s="2"/>
      <c r="AD37" s="2"/>
      <c r="AE37" s="2"/>
      <c r="AG37" s="19" t="s">
        <v>2</v>
      </c>
      <c r="AH37" s="2"/>
      <c r="AI37" s="2"/>
      <c r="AJ37" s="2"/>
      <c r="AK37" s="2"/>
    </row>
    <row r="38" spans="1:37" x14ac:dyDescent="0.25">
      <c r="A38" s="22"/>
      <c r="B38" s="2">
        <v>99.92</v>
      </c>
      <c r="C38" s="2">
        <v>90.56</v>
      </c>
      <c r="D38" s="2">
        <v>99.78</v>
      </c>
      <c r="E38" s="2">
        <v>99.94</v>
      </c>
      <c r="F38" s="2">
        <v>99.84</v>
      </c>
      <c r="G38" s="2">
        <v>92.92</v>
      </c>
      <c r="H38" s="2">
        <v>100</v>
      </c>
      <c r="J38" s="24"/>
      <c r="K38" s="2">
        <v>99.706199999999995</v>
      </c>
      <c r="L38" s="2">
        <v>94.957999999999998</v>
      </c>
      <c r="M38" s="2">
        <v>98.132599999999996</v>
      </c>
      <c r="N38" s="2">
        <v>92.738799999999998</v>
      </c>
      <c r="Q38" s="20"/>
      <c r="R38" s="2"/>
      <c r="S38" s="2">
        <v>96.561899999999994</v>
      </c>
      <c r="T38" s="2"/>
      <c r="U38" s="2"/>
      <c r="W38" s="20"/>
      <c r="X38" s="2"/>
      <c r="Y38" s="2"/>
      <c r="Z38" s="2"/>
      <c r="AB38" s="20"/>
      <c r="AC38" s="2"/>
      <c r="AD38" s="2"/>
      <c r="AE38" s="2"/>
      <c r="AG38" s="20"/>
      <c r="AH38" s="2"/>
      <c r="AI38" s="2"/>
      <c r="AJ38" s="2"/>
      <c r="AK38" s="2"/>
    </row>
    <row r="39" spans="1:37" x14ac:dyDescent="0.25">
      <c r="A39" s="22"/>
      <c r="B39" s="2">
        <v>99.9</v>
      </c>
      <c r="C39" s="2">
        <v>91.49</v>
      </c>
      <c r="D39" s="2">
        <v>99.96</v>
      </c>
      <c r="E39" s="2">
        <v>99.84</v>
      </c>
      <c r="F39" s="2">
        <v>99.9</v>
      </c>
      <c r="G39" s="2">
        <v>95.93</v>
      </c>
      <c r="H39" s="2">
        <v>99.94</v>
      </c>
      <c r="J39" s="24"/>
      <c r="K39" s="2">
        <v>99.118499999999997</v>
      </c>
      <c r="L39" s="2">
        <v>98.039199999999994</v>
      </c>
      <c r="M39" s="2">
        <v>99.719899999999996</v>
      </c>
      <c r="N39" s="2">
        <v>95.614000000000004</v>
      </c>
      <c r="Q39" s="20"/>
      <c r="R39" s="2"/>
      <c r="S39" s="2">
        <v>91.944999999999993</v>
      </c>
      <c r="T39" s="2"/>
      <c r="U39" s="2"/>
      <c r="W39" s="20"/>
      <c r="X39" s="2"/>
      <c r="Y39" s="2"/>
      <c r="Z39" s="2"/>
      <c r="AB39" s="20"/>
      <c r="AC39" s="2"/>
      <c r="AD39" s="2"/>
      <c r="AE39" s="2"/>
      <c r="AG39" s="20"/>
      <c r="AH39" s="2"/>
      <c r="AI39" s="2"/>
      <c r="AJ39" s="2"/>
      <c r="AK39" s="2"/>
    </row>
    <row r="40" spans="1:37" x14ac:dyDescent="0.25">
      <c r="A40" s="22"/>
      <c r="B40" s="2">
        <v>100</v>
      </c>
      <c r="C40" s="2">
        <v>92.78</v>
      </c>
      <c r="D40" s="2">
        <v>99.74</v>
      </c>
      <c r="E40" s="2">
        <v>99.74</v>
      </c>
      <c r="F40" s="2">
        <v>99.94</v>
      </c>
      <c r="G40" s="2">
        <v>99.9</v>
      </c>
      <c r="H40" s="2">
        <v>99.86</v>
      </c>
      <c r="J40" s="25"/>
      <c r="K40" s="2">
        <v>99.216499999999996</v>
      </c>
      <c r="L40" s="2">
        <v>99.346400000000003</v>
      </c>
      <c r="M40" s="2">
        <v>98.692800000000005</v>
      </c>
      <c r="N40" s="2">
        <v>99.122799999999998</v>
      </c>
      <c r="Q40" s="20"/>
      <c r="R40" s="2"/>
      <c r="S40" s="2">
        <v>98.428299999999993</v>
      </c>
      <c r="T40" s="2"/>
      <c r="U40" s="2"/>
      <c r="W40" s="20"/>
      <c r="X40" s="2"/>
      <c r="Y40" s="2"/>
      <c r="Z40" s="2"/>
      <c r="AB40" s="20"/>
      <c r="AC40" s="2"/>
      <c r="AD40" s="2"/>
      <c r="AE40" s="2"/>
      <c r="AG40" s="20"/>
      <c r="AH40" s="2"/>
      <c r="AI40" s="2"/>
      <c r="AJ40" s="2"/>
      <c r="AK40" s="2"/>
    </row>
    <row r="41" spans="1:37" x14ac:dyDescent="0.25">
      <c r="A41" s="5"/>
      <c r="B41" s="8">
        <f t="shared" ref="B41:G41" si="29">AVERAGE(B37:B40)</f>
        <v>99.94</v>
      </c>
      <c r="C41" s="10">
        <f t="shared" si="29"/>
        <v>91.3125</v>
      </c>
      <c r="D41" s="10">
        <f t="shared" si="29"/>
        <v>99.834999999999994</v>
      </c>
      <c r="E41" s="10">
        <f t="shared" si="29"/>
        <v>99.85</v>
      </c>
      <c r="F41" s="10">
        <f t="shared" si="29"/>
        <v>99.855000000000004</v>
      </c>
      <c r="G41" s="10">
        <f t="shared" si="29"/>
        <v>96.295000000000016</v>
      </c>
      <c r="H41" s="10">
        <f t="shared" ref="H41" si="30">AVERAGE(H37:H40)</f>
        <v>99.92</v>
      </c>
      <c r="J41" s="5"/>
      <c r="K41" s="5">
        <f t="shared" ref="K41:M41" si="31">AVERAGE(K37:K40)</f>
        <v>99.510300000000001</v>
      </c>
      <c r="L41" s="5">
        <f t="shared" si="31"/>
        <v>97.689075000000003</v>
      </c>
      <c r="M41" s="5">
        <f t="shared" si="31"/>
        <v>98.669475000000006</v>
      </c>
      <c r="N41" s="5">
        <f>AVERAGE(N37:N40)</f>
        <v>96.332850000000008</v>
      </c>
      <c r="Q41" s="14"/>
      <c r="R41" s="14"/>
      <c r="S41" s="14"/>
      <c r="T41" s="14"/>
      <c r="U41" s="14"/>
      <c r="W41" s="5"/>
      <c r="X41" s="5"/>
      <c r="Y41" s="5"/>
      <c r="Z41" s="5"/>
      <c r="AB41" s="5"/>
      <c r="AC41" s="5"/>
      <c r="AD41" s="5"/>
      <c r="AE41" s="5"/>
      <c r="AG41" s="5"/>
      <c r="AH41" s="5"/>
      <c r="AI41" s="5"/>
      <c r="AJ41" s="5"/>
      <c r="AK41" s="5"/>
    </row>
    <row r="42" spans="1:37" x14ac:dyDescent="0.25">
      <c r="A42" s="21" t="s">
        <v>3</v>
      </c>
      <c r="B42" s="2">
        <v>92.87</v>
      </c>
      <c r="C42" s="2">
        <v>67.22</v>
      </c>
      <c r="D42" s="2">
        <v>96.21</v>
      </c>
      <c r="E42" s="2">
        <v>99.87</v>
      </c>
      <c r="F42" s="2">
        <v>99.7</v>
      </c>
      <c r="G42" s="2">
        <v>94.05</v>
      </c>
      <c r="H42" s="2">
        <v>99.24</v>
      </c>
      <c r="J42" s="23" t="s">
        <v>22</v>
      </c>
      <c r="K42" s="2">
        <v>99.608199999999997</v>
      </c>
      <c r="L42" s="2">
        <v>92.436999999999998</v>
      </c>
      <c r="M42" s="2">
        <v>96.561899999999994</v>
      </c>
      <c r="N42" s="2">
        <v>82.358699999999999</v>
      </c>
      <c r="Q42" s="19" t="s">
        <v>0</v>
      </c>
      <c r="R42" s="2"/>
      <c r="S42" s="2">
        <v>98.139099999999999</v>
      </c>
      <c r="U42" s="2"/>
      <c r="W42" s="19" t="s">
        <v>3</v>
      </c>
      <c r="X42" s="2">
        <v>81.773899999999998</v>
      </c>
      <c r="Y42" s="2">
        <v>97.855800000000002</v>
      </c>
      <c r="Z42" s="2">
        <v>89.863500000000002</v>
      </c>
      <c r="AB42" s="19" t="s">
        <v>3</v>
      </c>
      <c r="AC42" s="2"/>
      <c r="AD42" s="2"/>
      <c r="AE42" s="2"/>
      <c r="AG42" s="19" t="s">
        <v>3</v>
      </c>
      <c r="AH42" s="2"/>
      <c r="AI42" s="2"/>
      <c r="AJ42" s="2"/>
      <c r="AK42" s="2"/>
    </row>
    <row r="43" spans="1:37" x14ac:dyDescent="0.25">
      <c r="A43" s="22"/>
      <c r="B43" s="2">
        <v>99.95</v>
      </c>
      <c r="C43" s="2">
        <v>66.58</v>
      </c>
      <c r="D43" s="2">
        <v>99.77</v>
      </c>
      <c r="E43" s="2">
        <v>99.79</v>
      </c>
      <c r="F43" s="2">
        <v>99.77</v>
      </c>
      <c r="G43" s="2">
        <v>96.32</v>
      </c>
      <c r="H43" s="2">
        <v>99.72</v>
      </c>
      <c r="J43" s="24"/>
      <c r="K43" s="2">
        <v>99.118499999999997</v>
      </c>
      <c r="L43" s="2">
        <v>90.756299999999996</v>
      </c>
      <c r="M43" s="2">
        <v>96.267200000000003</v>
      </c>
      <c r="N43" s="2">
        <v>80.214399999999998</v>
      </c>
      <c r="Q43" s="20"/>
      <c r="R43" s="2"/>
      <c r="S43" s="2">
        <v>99.020600000000002</v>
      </c>
      <c r="T43" s="2"/>
      <c r="U43" s="2"/>
      <c r="W43" s="20"/>
      <c r="X43" s="2">
        <v>94.590599999999995</v>
      </c>
      <c r="Y43" s="2">
        <v>92.738799999999998</v>
      </c>
      <c r="Z43" s="2">
        <v>94.736800000000002</v>
      </c>
      <c r="AB43" s="20"/>
      <c r="AC43" s="2"/>
      <c r="AD43" s="2"/>
      <c r="AE43" s="2"/>
      <c r="AG43" s="20"/>
      <c r="AH43" s="2"/>
      <c r="AI43" s="2"/>
      <c r="AJ43" s="2"/>
      <c r="AK43" s="2"/>
    </row>
    <row r="44" spans="1:37" x14ac:dyDescent="0.25">
      <c r="A44" s="22"/>
      <c r="B44" s="2">
        <v>96.9</v>
      </c>
      <c r="C44" s="2">
        <v>64.22</v>
      </c>
      <c r="D44" s="2">
        <v>95.51</v>
      </c>
      <c r="E44" s="2">
        <v>95.14</v>
      </c>
      <c r="F44" s="2">
        <v>98.16</v>
      </c>
      <c r="G44" s="2">
        <v>96.35</v>
      </c>
      <c r="H44" s="2">
        <v>99.54</v>
      </c>
      <c r="J44" s="24"/>
      <c r="K44" s="2">
        <v>99.608199999999997</v>
      </c>
      <c r="L44" s="2">
        <v>92.250200000000007</v>
      </c>
      <c r="M44" s="2">
        <v>94.597200000000001</v>
      </c>
      <c r="N44" s="2">
        <v>81.530199999999994</v>
      </c>
      <c r="Q44" s="20"/>
      <c r="R44" s="2"/>
      <c r="S44" s="2">
        <v>96.474000000000004</v>
      </c>
      <c r="T44" s="2"/>
      <c r="U44" s="2"/>
      <c r="W44" s="20"/>
      <c r="X44" s="2">
        <v>99.658900000000003</v>
      </c>
      <c r="Y44" s="2">
        <v>95.614000000000004</v>
      </c>
      <c r="Z44" s="2">
        <v>95.467799999999997</v>
      </c>
      <c r="AB44" s="20"/>
      <c r="AC44" s="2"/>
      <c r="AD44" s="2"/>
      <c r="AE44" s="2"/>
      <c r="AG44" s="20"/>
      <c r="AH44" s="2"/>
      <c r="AI44" s="2"/>
      <c r="AJ44" s="2"/>
      <c r="AK44" s="2"/>
    </row>
    <row r="45" spans="1:37" x14ac:dyDescent="0.25">
      <c r="A45" s="22"/>
      <c r="B45" s="2">
        <v>97.17</v>
      </c>
      <c r="C45" s="2">
        <v>64.86</v>
      </c>
      <c r="D45" s="2">
        <v>99.53</v>
      </c>
      <c r="E45" s="2">
        <v>94.36</v>
      </c>
      <c r="F45" s="2">
        <v>94.31</v>
      </c>
      <c r="G45" s="2">
        <v>96.13</v>
      </c>
      <c r="H45" s="2">
        <v>96.22</v>
      </c>
      <c r="J45" s="25"/>
      <c r="K45" s="2">
        <v>100</v>
      </c>
      <c r="L45" s="2">
        <v>91.596599999999995</v>
      </c>
      <c r="M45" s="2">
        <v>98.330100000000002</v>
      </c>
      <c r="N45" s="2">
        <v>82.992199999999997</v>
      </c>
      <c r="Q45" s="20"/>
      <c r="R45" s="2"/>
      <c r="S45" s="2">
        <v>99.510300000000001</v>
      </c>
      <c r="T45" s="2"/>
      <c r="U45" s="2"/>
      <c r="W45" s="20"/>
      <c r="X45" s="2">
        <v>89.814800000000005</v>
      </c>
      <c r="Y45" s="2">
        <v>99.122799999999998</v>
      </c>
      <c r="Z45" s="2">
        <v>99.512699999999995</v>
      </c>
      <c r="AB45" s="20"/>
      <c r="AC45" s="2"/>
      <c r="AD45" s="2"/>
      <c r="AE45" s="2"/>
      <c r="AG45" s="20"/>
      <c r="AH45" s="2"/>
      <c r="AI45" s="2"/>
      <c r="AJ45" s="2"/>
      <c r="AK45" s="2"/>
    </row>
    <row r="46" spans="1:37" x14ac:dyDescent="0.25">
      <c r="A46" s="5"/>
      <c r="B46" s="10">
        <f t="shared" ref="B46:G46" si="32">AVERAGE(B42:B45)</f>
        <v>96.722500000000011</v>
      </c>
      <c r="C46" s="10">
        <f t="shared" si="32"/>
        <v>65.72</v>
      </c>
      <c r="D46" s="10">
        <f t="shared" si="32"/>
        <v>97.754999999999995</v>
      </c>
      <c r="E46" s="10">
        <f t="shared" si="32"/>
        <v>97.29</v>
      </c>
      <c r="F46" s="10">
        <f t="shared" si="32"/>
        <v>97.984999999999999</v>
      </c>
      <c r="G46" s="10">
        <f t="shared" si="32"/>
        <v>95.712500000000006</v>
      </c>
      <c r="H46" s="8">
        <f>AVERAGE(H42:H45)</f>
        <v>98.68</v>
      </c>
      <c r="J46" s="5"/>
      <c r="K46" s="5">
        <f>AVERAGE(K42:K45)</f>
        <v>99.583725000000001</v>
      </c>
      <c r="L46" s="5">
        <f>AVERAGE(L42:L45)</f>
        <v>91.760024999999985</v>
      </c>
      <c r="M46" s="5">
        <f>AVERAGE(M42:M45)</f>
        <v>96.439099999999996</v>
      </c>
      <c r="N46" s="5">
        <f>AVERAGE(N42:N45)</f>
        <v>81.773875000000004</v>
      </c>
      <c r="Q46" s="5"/>
      <c r="R46" s="5"/>
      <c r="S46" s="5"/>
      <c r="T46" s="5"/>
      <c r="U46" s="5"/>
      <c r="W46" s="5"/>
      <c r="X46" s="5">
        <f>AVERAGE(X42:X45)</f>
        <v>91.459549999999993</v>
      </c>
      <c r="Y46" s="8">
        <f t="shared" ref="Y46:Z46" si="33">AVERAGE(Y42:Y45)</f>
        <v>96.332850000000008</v>
      </c>
      <c r="Z46" s="5">
        <f t="shared" si="33"/>
        <v>94.895200000000003</v>
      </c>
      <c r="AB46" s="5"/>
      <c r="AC46" s="5"/>
      <c r="AD46" s="5"/>
      <c r="AE46" s="5"/>
      <c r="AG46" s="5"/>
      <c r="AH46" s="5"/>
      <c r="AI46" s="5"/>
      <c r="AJ46" s="5"/>
      <c r="AK46" s="5"/>
    </row>
    <row r="47" spans="1:37" x14ac:dyDescent="0.25">
      <c r="J47" s="26" t="s">
        <v>28</v>
      </c>
      <c r="K47" s="2">
        <v>99.902100000000004</v>
      </c>
      <c r="L47" s="2">
        <v>100</v>
      </c>
      <c r="M47" s="2">
        <v>92.632599999999996</v>
      </c>
      <c r="N47" s="2">
        <v>72.904499999999999</v>
      </c>
    </row>
    <row r="48" spans="1:37" x14ac:dyDescent="0.25">
      <c r="J48" s="27"/>
      <c r="K48" s="2">
        <v>99.314400000000006</v>
      </c>
      <c r="L48" s="2">
        <v>81.886099999999999</v>
      </c>
      <c r="M48" s="2">
        <v>99.8035</v>
      </c>
      <c r="N48" s="2">
        <v>81.773899999999998</v>
      </c>
    </row>
    <row r="49" spans="2:14" x14ac:dyDescent="0.25">
      <c r="B49" s="16" t="s">
        <v>37</v>
      </c>
      <c r="C49" s="16" t="s">
        <v>24</v>
      </c>
      <c r="J49" s="27"/>
      <c r="K49" s="2">
        <v>99.020600000000002</v>
      </c>
      <c r="L49" s="2">
        <v>82.352900000000005</v>
      </c>
      <c r="M49" s="2">
        <v>97.052999999999997</v>
      </c>
      <c r="N49" s="2">
        <v>72.563400000000001</v>
      </c>
    </row>
    <row r="50" spans="2:14" x14ac:dyDescent="0.25">
      <c r="B50" s="16">
        <v>0.1</v>
      </c>
      <c r="C50" s="16">
        <v>0.01</v>
      </c>
      <c r="D50" s="18" t="s">
        <v>77</v>
      </c>
      <c r="E50" s="13"/>
      <c r="F50" s="13"/>
      <c r="J50" s="27"/>
      <c r="K50" s="2">
        <v>100</v>
      </c>
      <c r="L50" s="2">
        <v>85.620900000000006</v>
      </c>
      <c r="M50" s="2">
        <v>92.141499999999994</v>
      </c>
      <c r="N50" s="2">
        <v>71.150099999999995</v>
      </c>
    </row>
    <row r="51" spans="2:14" x14ac:dyDescent="0.25">
      <c r="B51" s="6"/>
      <c r="C51" s="28" t="s">
        <v>1</v>
      </c>
      <c r="D51" s="29"/>
      <c r="E51" s="29"/>
      <c r="F51" s="30"/>
      <c r="G51" s="17">
        <v>99.35</v>
      </c>
      <c r="J51" s="5"/>
      <c r="K51" s="5">
        <f>AVERAGE(K47:K50)</f>
        <v>99.559275</v>
      </c>
      <c r="L51" s="5">
        <f>AVERAGE(L47:L50)</f>
        <v>87.46497500000001</v>
      </c>
      <c r="M51" s="5">
        <f>AVERAGE(M47:M50)</f>
        <v>95.407650000000004</v>
      </c>
      <c r="N51" s="5">
        <f>AVERAGE(N47:N50)</f>
        <v>74.597975000000005</v>
      </c>
    </row>
    <row r="52" spans="2:14" x14ac:dyDescent="0.25">
      <c r="B52" s="7" t="s">
        <v>31</v>
      </c>
      <c r="C52" s="2">
        <v>98.97</v>
      </c>
      <c r="D52" s="2">
        <v>98.97</v>
      </c>
      <c r="E52" s="2">
        <v>99.07</v>
      </c>
      <c r="F52" s="2">
        <v>98.97</v>
      </c>
      <c r="G52" s="5">
        <f>AVERAGE(C52:F52)</f>
        <v>98.995000000000005</v>
      </c>
      <c r="J52" s="26" t="s">
        <v>79</v>
      </c>
      <c r="K52" s="2"/>
      <c r="L52" s="2"/>
      <c r="M52" s="2"/>
      <c r="N52" s="2"/>
    </row>
    <row r="53" spans="2:14" x14ac:dyDescent="0.25">
      <c r="B53" s="7" t="s">
        <v>32</v>
      </c>
      <c r="C53" s="2">
        <v>70.59</v>
      </c>
      <c r="D53" s="2">
        <v>70.59</v>
      </c>
      <c r="E53" s="2">
        <v>70.31</v>
      </c>
      <c r="F53" s="2">
        <v>70.489999999999995</v>
      </c>
      <c r="G53" s="5">
        <f t="shared" ref="G53:G57" si="34">AVERAGE(C53:F53)</f>
        <v>70.495000000000005</v>
      </c>
      <c r="J53" s="27"/>
      <c r="K53" s="2"/>
      <c r="L53" s="2"/>
      <c r="M53" s="2"/>
      <c r="N53" s="2"/>
    </row>
    <row r="54" spans="2:14" x14ac:dyDescent="0.25">
      <c r="B54" s="7" t="s">
        <v>33</v>
      </c>
      <c r="C54" s="2">
        <v>100</v>
      </c>
      <c r="D54" s="2">
        <v>100</v>
      </c>
      <c r="E54" s="2">
        <v>100</v>
      </c>
      <c r="F54" s="2">
        <v>100</v>
      </c>
      <c r="G54" s="5">
        <f t="shared" si="34"/>
        <v>100</v>
      </c>
      <c r="J54" s="27"/>
      <c r="K54" s="2"/>
      <c r="L54" s="2"/>
      <c r="M54" s="2"/>
      <c r="N54" s="2"/>
    </row>
    <row r="55" spans="2:14" x14ac:dyDescent="0.25">
      <c r="B55" s="7" t="s">
        <v>34</v>
      </c>
      <c r="C55" s="2">
        <v>82.17</v>
      </c>
      <c r="D55" s="2">
        <v>82.07</v>
      </c>
      <c r="E55" s="2">
        <v>82.17</v>
      </c>
      <c r="F55" s="2">
        <v>82.26</v>
      </c>
      <c r="G55" s="5">
        <f t="shared" si="34"/>
        <v>82.167500000000004</v>
      </c>
      <c r="J55" s="27"/>
      <c r="K55" s="2"/>
      <c r="L55" s="2"/>
      <c r="M55" s="2"/>
      <c r="N55" s="2"/>
    </row>
    <row r="56" spans="2:14" x14ac:dyDescent="0.25">
      <c r="B56" s="7" t="s">
        <v>35</v>
      </c>
      <c r="C56" s="2">
        <v>83.66</v>
      </c>
      <c r="D56" s="2">
        <v>84.03</v>
      </c>
      <c r="E56" s="2">
        <v>83.75</v>
      </c>
      <c r="F56" s="2">
        <v>83.94</v>
      </c>
      <c r="G56" s="5">
        <f t="shared" si="34"/>
        <v>83.844999999999999</v>
      </c>
      <c r="J56" s="5"/>
      <c r="K56" s="5"/>
      <c r="L56" s="5"/>
      <c r="M56" s="5"/>
      <c r="N56" s="5"/>
    </row>
    <row r="57" spans="2:14" x14ac:dyDescent="0.25">
      <c r="B57" s="7" t="s">
        <v>36</v>
      </c>
      <c r="C57" s="2">
        <v>100</v>
      </c>
      <c r="D57" s="2">
        <v>100</v>
      </c>
      <c r="E57" s="2">
        <v>100</v>
      </c>
      <c r="F57" s="2">
        <v>100</v>
      </c>
      <c r="G57" s="5">
        <f t="shared" si="34"/>
        <v>100</v>
      </c>
      <c r="J57" s="26" t="s">
        <v>20</v>
      </c>
      <c r="K57" s="2"/>
      <c r="L57" s="2"/>
      <c r="M57" s="2"/>
      <c r="N57" s="2"/>
    </row>
    <row r="58" spans="2:14" x14ac:dyDescent="0.25">
      <c r="B58" s="6"/>
      <c r="C58" s="21" t="s">
        <v>3</v>
      </c>
      <c r="D58" s="22"/>
      <c r="E58" s="22"/>
      <c r="F58" s="22"/>
      <c r="G58" s="17">
        <v>99.76</v>
      </c>
      <c r="J58" s="27"/>
      <c r="K58" s="2"/>
      <c r="L58" s="2"/>
      <c r="M58" s="2"/>
      <c r="N58" s="2"/>
    </row>
    <row r="59" spans="2:14" x14ac:dyDescent="0.25">
      <c r="B59" s="7" t="s">
        <v>31</v>
      </c>
      <c r="C59" s="2">
        <v>99.66</v>
      </c>
      <c r="D59" s="2">
        <v>99.71</v>
      </c>
      <c r="E59" s="2">
        <v>99.76</v>
      </c>
      <c r="F59" s="2">
        <v>99.71</v>
      </c>
      <c r="G59" s="5">
        <f>AVERAGE(C59:F59)</f>
        <v>99.71</v>
      </c>
      <c r="J59" s="27"/>
      <c r="K59" s="2"/>
      <c r="L59" s="2"/>
      <c r="M59" s="2"/>
      <c r="N59" s="2"/>
    </row>
    <row r="60" spans="2:14" x14ac:dyDescent="0.25">
      <c r="B60" s="7" t="s">
        <v>32</v>
      </c>
      <c r="C60" s="2">
        <v>81.58</v>
      </c>
      <c r="D60" s="2">
        <v>81.63</v>
      </c>
      <c r="E60" s="2">
        <v>81.53</v>
      </c>
      <c r="F60" s="2">
        <v>81.430000000000007</v>
      </c>
      <c r="G60" s="5">
        <f t="shared" ref="G60:G64" si="35">AVERAGE(C60:F60)</f>
        <v>81.54249999999999</v>
      </c>
      <c r="J60" s="27"/>
      <c r="K60" s="2"/>
      <c r="L60" s="2"/>
      <c r="M60" s="2"/>
      <c r="N60" s="2"/>
    </row>
    <row r="61" spans="2:14" x14ac:dyDescent="0.25">
      <c r="B61" s="7" t="s">
        <v>33</v>
      </c>
      <c r="C61" s="2">
        <v>99.85</v>
      </c>
      <c r="D61" s="2">
        <v>99.85</v>
      </c>
      <c r="E61" s="2">
        <v>99.85</v>
      </c>
      <c r="F61" s="2">
        <v>99.85</v>
      </c>
      <c r="G61" s="5">
        <f t="shared" si="35"/>
        <v>99.85</v>
      </c>
      <c r="J61" s="5"/>
      <c r="K61" s="5"/>
      <c r="L61" s="5"/>
      <c r="M61" s="5"/>
      <c r="N61" s="5"/>
    </row>
    <row r="62" spans="2:14" x14ac:dyDescent="0.25">
      <c r="B62" s="7" t="s">
        <v>34</v>
      </c>
      <c r="C62" s="2">
        <v>76.02</v>
      </c>
      <c r="D62" s="2">
        <v>75.83</v>
      </c>
      <c r="E62" s="2">
        <v>76.02</v>
      </c>
      <c r="F62" s="2">
        <v>75.97</v>
      </c>
      <c r="G62" s="5">
        <f t="shared" si="35"/>
        <v>75.960000000000008</v>
      </c>
      <c r="J62" s="26" t="s">
        <v>80</v>
      </c>
      <c r="K62" s="2"/>
      <c r="L62" s="2"/>
      <c r="M62" s="2"/>
      <c r="N62" s="2"/>
    </row>
    <row r="63" spans="2:14" x14ac:dyDescent="0.25">
      <c r="B63" s="7" t="s">
        <v>35</v>
      </c>
      <c r="C63" s="2">
        <v>76.8</v>
      </c>
      <c r="D63" s="2">
        <v>76.900000000000006</v>
      </c>
      <c r="E63" s="2">
        <v>76.95</v>
      </c>
      <c r="F63" s="2">
        <v>76.66</v>
      </c>
      <c r="G63" s="5">
        <f t="shared" si="35"/>
        <v>76.827499999999986</v>
      </c>
      <c r="J63" s="27"/>
      <c r="K63" s="2"/>
      <c r="L63" s="2"/>
      <c r="M63" s="2"/>
      <c r="N63" s="2"/>
    </row>
    <row r="64" spans="2:14" x14ac:dyDescent="0.25">
      <c r="B64" s="7" t="s">
        <v>36</v>
      </c>
      <c r="C64" s="2">
        <v>99.9</v>
      </c>
      <c r="D64" s="2">
        <v>99.85</v>
      </c>
      <c r="E64" s="2">
        <v>99.9</v>
      </c>
      <c r="F64" s="2">
        <v>99.85</v>
      </c>
      <c r="G64" s="5">
        <f t="shared" si="35"/>
        <v>99.875</v>
      </c>
      <c r="J64" s="27"/>
      <c r="K64" s="2"/>
      <c r="L64" s="2"/>
      <c r="M64" s="2"/>
      <c r="N64" s="2"/>
    </row>
    <row r="65" spans="10:14" x14ac:dyDescent="0.25">
      <c r="J65" s="27"/>
      <c r="K65" s="2"/>
      <c r="L65" s="2"/>
      <c r="M65" s="2"/>
      <c r="N65" s="2"/>
    </row>
    <row r="66" spans="10:14" x14ac:dyDescent="0.25">
      <c r="J66" s="5"/>
      <c r="K66" s="5"/>
      <c r="L66" s="5"/>
      <c r="M66" s="5"/>
      <c r="N66" s="5"/>
    </row>
  </sheetData>
  <mergeCells count="58">
    <mergeCell ref="J62:J65"/>
    <mergeCell ref="J52:J55"/>
    <mergeCell ref="C58:F58"/>
    <mergeCell ref="C51:F51"/>
    <mergeCell ref="A17:A20"/>
    <mergeCell ref="Q27:Q30"/>
    <mergeCell ref="J47:J50"/>
    <mergeCell ref="A27:A30"/>
    <mergeCell ref="A42:A45"/>
    <mergeCell ref="J42:J45"/>
    <mergeCell ref="J32:J35"/>
    <mergeCell ref="J27:J30"/>
    <mergeCell ref="Q37:Q40"/>
    <mergeCell ref="Q42:Q45"/>
    <mergeCell ref="J57:J60"/>
    <mergeCell ref="AG27:AG30"/>
    <mergeCell ref="AG32:AG35"/>
    <mergeCell ref="AG37:AG40"/>
    <mergeCell ref="AG42:AG45"/>
    <mergeCell ref="U5:U8"/>
    <mergeCell ref="U10:U13"/>
    <mergeCell ref="U15:U18"/>
    <mergeCell ref="U20:U23"/>
    <mergeCell ref="W42:W45"/>
    <mergeCell ref="AB27:AB30"/>
    <mergeCell ref="AB32:AB35"/>
    <mergeCell ref="AB37:AB40"/>
    <mergeCell ref="AB42:AB45"/>
    <mergeCell ref="AF5:AF8"/>
    <mergeCell ref="AF10:AF13"/>
    <mergeCell ref="AF15:AF18"/>
    <mergeCell ref="A2:A5"/>
    <mergeCell ref="A7:A10"/>
    <mergeCell ref="A12:A15"/>
    <mergeCell ref="W32:W35"/>
    <mergeCell ref="W37:W40"/>
    <mergeCell ref="A37:A40"/>
    <mergeCell ref="A32:A35"/>
    <mergeCell ref="G5:G8"/>
    <mergeCell ref="G10:G13"/>
    <mergeCell ref="G15:G18"/>
    <mergeCell ref="G20:G23"/>
    <mergeCell ref="N5:N8"/>
    <mergeCell ref="N10:N13"/>
    <mergeCell ref="N15:N18"/>
    <mergeCell ref="N20:N23"/>
    <mergeCell ref="J37:J40"/>
    <mergeCell ref="AA5:AA8"/>
    <mergeCell ref="AA10:AA13"/>
    <mergeCell ref="AA15:AA18"/>
    <mergeCell ref="AA20:AA23"/>
    <mergeCell ref="Q32:Q35"/>
    <mergeCell ref="W27:W30"/>
    <mergeCell ref="AF20:AF23"/>
    <mergeCell ref="AK5:AK8"/>
    <mergeCell ref="AK10:AK13"/>
    <mergeCell ref="AK15:AK18"/>
    <mergeCell ref="AK20:AK23"/>
  </mergeCells>
  <phoneticPr fontId="1" type="noConversion"/>
  <pageMargins left="0.7" right="0.7" top="0.75" bottom="0.75" header="0.3" footer="0.3"/>
  <pageSetup paperSize="9" orientation="portrait"/>
  <ignoredErrors>
    <ignoredError sqref="C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57"/>
  <sheetViews>
    <sheetView topLeftCell="H6" zoomScale="115" zoomScaleNormal="115" workbookViewId="0">
      <selection activeCell="P8" sqref="P8:S8"/>
    </sheetView>
  </sheetViews>
  <sheetFormatPr defaultColWidth="9" defaultRowHeight="14.4" x14ac:dyDescent="0.25"/>
  <cols>
    <col min="2" max="2" width="9.77734375" customWidth="1"/>
    <col min="3" max="3" width="10.5546875" bestFit="1" customWidth="1"/>
    <col min="8" max="8" width="11.6640625" bestFit="1" customWidth="1"/>
    <col min="10" max="10" width="10.5546875" bestFit="1" customWidth="1"/>
    <col min="12" max="12" width="10.44140625" bestFit="1" customWidth="1"/>
    <col min="14" max="14" width="10.44140625" bestFit="1" customWidth="1"/>
    <col min="16" max="16" width="10.44140625" bestFit="1" customWidth="1"/>
    <col min="26" max="26" width="10.5546875" bestFit="1" customWidth="1"/>
  </cols>
  <sheetData>
    <row r="1" spans="1:26" x14ac:dyDescent="0.25">
      <c r="A1" s="6"/>
      <c r="B1" s="7" t="s">
        <v>38</v>
      </c>
      <c r="C1" s="7" t="s">
        <v>39</v>
      </c>
      <c r="D1" s="7" t="s">
        <v>40</v>
      </c>
      <c r="E1" s="13"/>
      <c r="F1" s="6"/>
      <c r="G1" s="21" t="s">
        <v>46</v>
      </c>
      <c r="H1" s="22"/>
      <c r="I1" s="22"/>
      <c r="J1" s="21" t="s">
        <v>47</v>
      </c>
      <c r="K1" s="22"/>
      <c r="L1" s="22"/>
      <c r="N1" s="7" t="s">
        <v>61</v>
      </c>
      <c r="O1" s="7" t="s">
        <v>62</v>
      </c>
      <c r="P1" s="7" t="s">
        <v>63</v>
      </c>
      <c r="Q1" s="7" t="s">
        <v>64</v>
      </c>
      <c r="R1" s="7" t="s">
        <v>65</v>
      </c>
      <c r="S1" s="7" t="s">
        <v>66</v>
      </c>
    </row>
    <row r="2" spans="1:26" x14ac:dyDescent="0.25">
      <c r="A2" s="6">
        <v>15</v>
      </c>
      <c r="B2" s="2">
        <v>0</v>
      </c>
      <c r="C2" s="2">
        <v>5</v>
      </c>
      <c r="D2" s="2">
        <v>10</v>
      </c>
      <c r="F2" s="7" t="s">
        <v>41</v>
      </c>
      <c r="G2" s="19" t="s">
        <v>45</v>
      </c>
      <c r="H2" s="19"/>
      <c r="I2" s="19"/>
      <c r="J2" s="19" t="s">
        <v>48</v>
      </c>
      <c r="K2" s="20"/>
      <c r="L2" s="20"/>
      <c r="N2" s="2">
        <v>0.5</v>
      </c>
      <c r="O2" s="2">
        <v>0.3</v>
      </c>
      <c r="P2" s="2">
        <v>1</v>
      </c>
      <c r="Q2" s="2">
        <v>0.2</v>
      </c>
      <c r="R2" s="2">
        <v>0.1</v>
      </c>
      <c r="S2" s="2">
        <v>0.2</v>
      </c>
    </row>
    <row r="3" spans="1:26" x14ac:dyDescent="0.25">
      <c r="A3" s="6">
        <v>25</v>
      </c>
      <c r="B3" s="2">
        <v>1</v>
      </c>
      <c r="C3" s="2">
        <v>6</v>
      </c>
      <c r="D3" s="2">
        <v>11</v>
      </c>
      <c r="F3" s="7" t="s">
        <v>42</v>
      </c>
      <c r="G3" s="19" t="s">
        <v>50</v>
      </c>
      <c r="H3" s="20"/>
      <c r="I3" s="20"/>
      <c r="J3" s="19" t="s">
        <v>49</v>
      </c>
      <c r="K3" s="20"/>
      <c r="L3" s="20"/>
    </row>
    <row r="4" spans="1:26" x14ac:dyDescent="0.25">
      <c r="A4" s="6">
        <v>30</v>
      </c>
      <c r="B4" s="2">
        <v>2</v>
      </c>
      <c r="C4" s="2">
        <v>7</v>
      </c>
      <c r="D4" s="2">
        <v>12</v>
      </c>
      <c r="F4" s="7" t="s">
        <v>43</v>
      </c>
      <c r="G4" s="19" t="s">
        <v>59</v>
      </c>
      <c r="H4" s="20"/>
      <c r="I4" s="20"/>
      <c r="J4" s="19" t="s">
        <v>60</v>
      </c>
      <c r="K4" s="20"/>
      <c r="L4" s="20"/>
    </row>
    <row r="5" spans="1:26" x14ac:dyDescent="0.25">
      <c r="A5" s="6">
        <v>35</v>
      </c>
      <c r="B5" s="2">
        <v>3</v>
      </c>
      <c r="C5" s="2">
        <v>8</v>
      </c>
      <c r="D5" s="2">
        <v>13</v>
      </c>
      <c r="F5" s="7" t="s">
        <v>44</v>
      </c>
      <c r="G5" s="19" t="s">
        <v>49</v>
      </c>
      <c r="H5" s="20"/>
      <c r="I5" s="20"/>
      <c r="J5" s="19" t="s">
        <v>50</v>
      </c>
      <c r="K5" s="20"/>
      <c r="L5" s="20"/>
    </row>
    <row r="6" spans="1:26" x14ac:dyDescent="0.25">
      <c r="A6" s="6">
        <v>45</v>
      </c>
      <c r="B6" s="2">
        <v>4</v>
      </c>
      <c r="C6" s="2">
        <v>9</v>
      </c>
      <c r="D6" s="2"/>
    </row>
    <row r="7" spans="1:26" x14ac:dyDescent="0.25">
      <c r="G7" s="18" t="s">
        <v>74</v>
      </c>
      <c r="U7" s="18" t="s">
        <v>76</v>
      </c>
    </row>
    <row r="8" spans="1:26" x14ac:dyDescent="0.25">
      <c r="B8" s="13"/>
      <c r="C8">
        <v>0.8</v>
      </c>
      <c r="D8">
        <v>1</v>
      </c>
      <c r="E8" s="13" t="s">
        <v>58</v>
      </c>
      <c r="G8" s="6"/>
      <c r="H8" s="21" t="s">
        <v>51</v>
      </c>
      <c r="I8" s="22"/>
      <c r="J8" s="22"/>
      <c r="K8" s="22"/>
      <c r="L8" s="21" t="s">
        <v>52</v>
      </c>
      <c r="M8" s="22"/>
      <c r="N8" s="22"/>
      <c r="O8" s="22"/>
      <c r="P8" s="21" t="s">
        <v>53</v>
      </c>
      <c r="Q8" s="22"/>
      <c r="R8" s="22"/>
      <c r="S8" s="22"/>
      <c r="U8" s="2"/>
      <c r="V8" s="21" t="s">
        <v>43</v>
      </c>
      <c r="W8" s="22"/>
      <c r="X8" s="22"/>
      <c r="Y8" s="22"/>
      <c r="Z8" s="2">
        <v>98.92</v>
      </c>
    </row>
    <row r="9" spans="1:26" x14ac:dyDescent="0.25">
      <c r="B9" s="34" t="s">
        <v>41</v>
      </c>
      <c r="C9">
        <v>100</v>
      </c>
      <c r="G9" s="6"/>
      <c r="H9" s="7" t="s">
        <v>41</v>
      </c>
      <c r="I9" s="7" t="s">
        <v>42</v>
      </c>
      <c r="J9" s="7" t="s">
        <v>43</v>
      </c>
      <c r="K9" s="7" t="s">
        <v>44</v>
      </c>
      <c r="L9" s="7" t="s">
        <v>41</v>
      </c>
      <c r="M9" s="7" t="s">
        <v>42</v>
      </c>
      <c r="N9" s="7" t="s">
        <v>43</v>
      </c>
      <c r="O9" s="7" t="s">
        <v>44</v>
      </c>
      <c r="P9" s="7" t="s">
        <v>41</v>
      </c>
      <c r="Q9" s="7" t="s">
        <v>42</v>
      </c>
      <c r="R9" s="7" t="s">
        <v>43</v>
      </c>
      <c r="S9" s="7" t="s">
        <v>44</v>
      </c>
      <c r="U9" s="7" t="s">
        <v>31</v>
      </c>
      <c r="V9" s="2">
        <v>88.51</v>
      </c>
      <c r="W9" s="2">
        <v>88.32</v>
      </c>
      <c r="X9" s="2">
        <v>88.27</v>
      </c>
      <c r="Y9" s="2">
        <v>88.03</v>
      </c>
      <c r="Z9" s="5">
        <f>AVERAGE(V9:Y9)</f>
        <v>88.282499999999999</v>
      </c>
    </row>
    <row r="10" spans="1:26" x14ac:dyDescent="0.25">
      <c r="B10" s="35"/>
      <c r="C10">
        <v>100</v>
      </c>
      <c r="G10" s="26" t="s">
        <v>54</v>
      </c>
      <c r="H10" s="2">
        <v>100</v>
      </c>
      <c r="I10" s="2">
        <v>100</v>
      </c>
      <c r="J10" s="2">
        <v>99.413499999999999</v>
      </c>
      <c r="K10" s="2">
        <v>99.950999999999993</v>
      </c>
      <c r="L10" s="2">
        <v>1</v>
      </c>
      <c r="M10" s="2">
        <v>1</v>
      </c>
      <c r="N10" s="2">
        <v>0.95789999999999997</v>
      </c>
      <c r="O10" s="2">
        <v>0.99950000000000006</v>
      </c>
      <c r="P10" s="2">
        <v>1</v>
      </c>
      <c r="Q10" s="2">
        <v>1</v>
      </c>
      <c r="R10" s="2">
        <v>0.95720000000000005</v>
      </c>
      <c r="S10" s="2">
        <v>0.99950000000000006</v>
      </c>
      <c r="U10" s="7" t="s">
        <v>32</v>
      </c>
      <c r="V10" s="2">
        <v>70.14</v>
      </c>
      <c r="W10" s="2">
        <v>69.989999999999995</v>
      </c>
      <c r="X10" s="2">
        <v>70.23</v>
      </c>
      <c r="Y10" s="2">
        <v>70.14</v>
      </c>
      <c r="Z10" s="5">
        <f t="shared" ref="Z10:Z14" si="0">AVERAGE(V10:Y10)</f>
        <v>70.125</v>
      </c>
    </row>
    <row r="11" spans="1:26" x14ac:dyDescent="0.25">
      <c r="B11" s="35"/>
      <c r="C11">
        <v>100</v>
      </c>
      <c r="G11" s="27"/>
      <c r="H11" s="2">
        <v>99.870099999999994</v>
      </c>
      <c r="I11" s="2">
        <v>100</v>
      </c>
      <c r="J11" s="2">
        <v>99.706699999999998</v>
      </c>
      <c r="K11" s="2">
        <v>99.902000000000001</v>
      </c>
      <c r="L11" s="2">
        <v>0.99870000000000003</v>
      </c>
      <c r="M11" s="2">
        <v>1</v>
      </c>
      <c r="N11" s="2">
        <v>0.98929999999999996</v>
      </c>
      <c r="O11" s="2">
        <v>0.999</v>
      </c>
      <c r="P11" s="2">
        <v>0.99870000000000003</v>
      </c>
      <c r="Q11" s="2">
        <v>1</v>
      </c>
      <c r="R11" s="2">
        <v>0.98929999999999996</v>
      </c>
      <c r="S11" s="2">
        <v>0.999</v>
      </c>
      <c r="U11" s="7" t="s">
        <v>33</v>
      </c>
      <c r="V11" s="2">
        <v>99.02</v>
      </c>
      <c r="W11" s="2">
        <v>99.02</v>
      </c>
      <c r="X11" s="2">
        <v>99.07</v>
      </c>
      <c r="Y11" s="2">
        <v>98.97</v>
      </c>
      <c r="Z11" s="5">
        <f t="shared" si="0"/>
        <v>99.02000000000001</v>
      </c>
    </row>
    <row r="12" spans="1:26" x14ac:dyDescent="0.25">
      <c r="B12" s="35"/>
      <c r="C12">
        <v>100</v>
      </c>
      <c r="G12" s="27"/>
      <c r="H12" s="2">
        <v>100</v>
      </c>
      <c r="I12" s="2">
        <v>99.842500000000001</v>
      </c>
      <c r="J12" s="2">
        <v>100</v>
      </c>
      <c r="K12" s="2">
        <v>100</v>
      </c>
      <c r="L12" s="2">
        <v>1</v>
      </c>
      <c r="M12" s="2">
        <v>0.99839999999999995</v>
      </c>
      <c r="N12" s="2">
        <v>0.95889999999999997</v>
      </c>
      <c r="O12" s="2">
        <v>1</v>
      </c>
      <c r="P12" s="2">
        <v>1</v>
      </c>
      <c r="Q12" s="2">
        <v>0.99839999999999995</v>
      </c>
      <c r="R12" s="2">
        <v>0.95860000000000001</v>
      </c>
      <c r="S12" s="2">
        <v>1</v>
      </c>
      <c r="U12" s="7" t="s">
        <v>34</v>
      </c>
      <c r="V12" s="2">
        <v>55.67</v>
      </c>
      <c r="W12" s="2">
        <v>55.87</v>
      </c>
      <c r="X12" s="2">
        <v>55.67</v>
      </c>
      <c r="Y12" s="2">
        <v>55.67</v>
      </c>
      <c r="Z12" s="5">
        <f t="shared" si="0"/>
        <v>55.72</v>
      </c>
    </row>
    <row r="13" spans="1:26" x14ac:dyDescent="0.25">
      <c r="C13">
        <f>AVERAGE(C9:C12)</f>
        <v>100</v>
      </c>
      <c r="G13" s="27"/>
      <c r="H13" s="2">
        <v>100</v>
      </c>
      <c r="I13" s="2">
        <v>99.921300000000002</v>
      </c>
      <c r="J13" s="2">
        <v>99.657899999999998</v>
      </c>
      <c r="K13" s="2">
        <v>99.950999999999993</v>
      </c>
      <c r="L13" s="2">
        <v>1</v>
      </c>
      <c r="M13" s="2">
        <v>0.99919999999999998</v>
      </c>
      <c r="N13" s="1" t="s">
        <v>78</v>
      </c>
      <c r="O13" s="2">
        <v>0.99950000000000006</v>
      </c>
      <c r="P13" s="2">
        <v>1</v>
      </c>
      <c r="Q13" s="2">
        <v>0.99919999999999998</v>
      </c>
      <c r="R13" s="2">
        <v>0.99409999999999998</v>
      </c>
      <c r="S13" s="2">
        <v>0.99950000000000006</v>
      </c>
      <c r="U13" s="7" t="s">
        <v>35</v>
      </c>
      <c r="V13" s="2">
        <v>58.06</v>
      </c>
      <c r="W13" s="2">
        <v>58.06</v>
      </c>
      <c r="X13" s="2">
        <v>57.82</v>
      </c>
      <c r="Y13" s="2">
        <v>57.72</v>
      </c>
      <c r="Z13" s="5">
        <f t="shared" si="0"/>
        <v>57.914999999999999</v>
      </c>
    </row>
    <row r="14" spans="1:26" x14ac:dyDescent="0.25">
      <c r="B14" s="34" t="s">
        <v>42</v>
      </c>
      <c r="C14">
        <v>99.921300000000002</v>
      </c>
      <c r="G14" s="5"/>
      <c r="H14" s="8">
        <f>AVERAGE(H10:H13)</f>
        <v>99.967524999999995</v>
      </c>
      <c r="I14" s="5">
        <f t="shared" ref="I14:S14" si="1">AVERAGE(I10:I13)</f>
        <v>99.940949999999987</v>
      </c>
      <c r="J14" s="8">
        <f t="shared" si="1"/>
        <v>99.694524999999999</v>
      </c>
      <c r="K14" s="8">
        <f t="shared" si="1"/>
        <v>99.950999999999993</v>
      </c>
      <c r="L14" s="8">
        <f t="shared" si="1"/>
        <v>0.99967499999999998</v>
      </c>
      <c r="M14" s="5">
        <f t="shared" si="1"/>
        <v>0.99940000000000007</v>
      </c>
      <c r="N14" s="8">
        <f t="shared" si="1"/>
        <v>0.96870000000000001</v>
      </c>
      <c r="O14" s="8">
        <f t="shared" si="1"/>
        <v>0.99950000000000006</v>
      </c>
      <c r="P14" s="8">
        <f t="shared" si="1"/>
        <v>0.99967499999999998</v>
      </c>
      <c r="Q14" s="5">
        <f t="shared" si="1"/>
        <v>0.99940000000000007</v>
      </c>
      <c r="R14" s="8">
        <f t="shared" si="1"/>
        <v>0.9748</v>
      </c>
      <c r="S14" s="8">
        <f t="shared" si="1"/>
        <v>0.99950000000000006</v>
      </c>
      <c r="U14" s="7" t="s">
        <v>36</v>
      </c>
      <c r="V14" s="2">
        <v>99.71</v>
      </c>
      <c r="W14" s="2">
        <v>99.71</v>
      </c>
      <c r="X14" s="2">
        <v>99.71</v>
      </c>
      <c r="Y14" s="2">
        <v>99.71</v>
      </c>
      <c r="Z14" s="8">
        <f t="shared" si="0"/>
        <v>99.71</v>
      </c>
    </row>
    <row r="15" spans="1:26" x14ac:dyDescent="0.25">
      <c r="B15" s="35"/>
      <c r="C15">
        <v>100</v>
      </c>
      <c r="G15" s="26" t="s">
        <v>55</v>
      </c>
      <c r="H15" s="2">
        <v>99.3506</v>
      </c>
      <c r="I15" s="2">
        <v>100</v>
      </c>
      <c r="J15" s="2">
        <v>77.468199999999996</v>
      </c>
      <c r="K15" s="2">
        <v>98.529399999999995</v>
      </c>
      <c r="L15" s="2">
        <v>0.99360000000000004</v>
      </c>
      <c r="M15" s="2">
        <v>1</v>
      </c>
      <c r="N15" s="2">
        <v>0.78949999999999998</v>
      </c>
      <c r="O15" s="2">
        <v>0.98509999999999998</v>
      </c>
      <c r="P15" s="2">
        <v>0.99350000000000005</v>
      </c>
      <c r="Q15" s="2">
        <v>1</v>
      </c>
      <c r="R15" s="2">
        <v>0.78800000000000003</v>
      </c>
      <c r="S15" s="2">
        <v>0.98529999999999995</v>
      </c>
      <c r="U15" s="2"/>
      <c r="V15" s="21" t="s">
        <v>41</v>
      </c>
      <c r="W15" s="22"/>
      <c r="X15" s="22"/>
      <c r="Y15" s="22"/>
      <c r="Z15" s="2">
        <v>99.87</v>
      </c>
    </row>
    <row r="16" spans="1:26" x14ac:dyDescent="0.25">
      <c r="B16" s="35"/>
      <c r="C16">
        <v>99.685000000000002</v>
      </c>
      <c r="G16" s="27"/>
      <c r="H16" s="2">
        <v>98.181799999999996</v>
      </c>
      <c r="I16" s="2">
        <v>100</v>
      </c>
      <c r="J16" s="2">
        <v>77.028300000000002</v>
      </c>
      <c r="K16" s="2">
        <v>98.676500000000004</v>
      </c>
      <c r="L16" s="2">
        <v>0.98180000000000001</v>
      </c>
      <c r="M16" s="2">
        <v>1</v>
      </c>
      <c r="N16" s="2">
        <v>0.77590000000000003</v>
      </c>
      <c r="O16" s="2">
        <v>0.98660000000000003</v>
      </c>
      <c r="P16" s="2">
        <v>0.98180000000000001</v>
      </c>
      <c r="Q16" s="2">
        <v>1</v>
      </c>
      <c r="R16" s="2">
        <v>0.77529999999999999</v>
      </c>
      <c r="S16" s="2">
        <v>0.98670000000000002</v>
      </c>
      <c r="U16" s="7" t="s">
        <v>31</v>
      </c>
      <c r="V16" s="2">
        <v>88.64</v>
      </c>
      <c r="W16" s="2">
        <v>88.7</v>
      </c>
      <c r="X16" s="2">
        <v>88.77</v>
      </c>
      <c r="Y16" s="2">
        <v>88.64</v>
      </c>
      <c r="Z16" s="5">
        <f>AVERAGE(V16:Y16)</f>
        <v>88.6875</v>
      </c>
    </row>
    <row r="17" spans="2:26" x14ac:dyDescent="0.25">
      <c r="B17" s="35"/>
      <c r="C17">
        <v>100</v>
      </c>
      <c r="G17" s="27"/>
      <c r="H17" s="2">
        <v>98.376599999999996</v>
      </c>
      <c r="I17" s="2">
        <v>100</v>
      </c>
      <c r="J17" s="2">
        <v>79.032300000000006</v>
      </c>
      <c r="K17" s="2">
        <v>98.725499999999997</v>
      </c>
      <c r="L17" s="2">
        <v>0.98370000000000002</v>
      </c>
      <c r="M17" s="2">
        <v>1</v>
      </c>
      <c r="N17" s="2">
        <v>0.79620000000000002</v>
      </c>
      <c r="O17" s="2">
        <v>0.98709999999999998</v>
      </c>
      <c r="P17" s="2">
        <v>0.98370000000000002</v>
      </c>
      <c r="Q17" s="2">
        <v>1</v>
      </c>
      <c r="R17" s="2">
        <v>0.79490000000000005</v>
      </c>
      <c r="S17" s="2">
        <v>0.98719999999999997</v>
      </c>
      <c r="U17" s="7" t="s">
        <v>32</v>
      </c>
      <c r="V17" s="2">
        <v>57.86</v>
      </c>
      <c r="W17" s="2">
        <v>58.18</v>
      </c>
      <c r="X17" s="2">
        <v>58.25</v>
      </c>
      <c r="Y17" s="2">
        <v>58.38</v>
      </c>
      <c r="Z17" s="5">
        <f t="shared" ref="Z17:Z21" si="2">AVERAGE(V17:Y17)</f>
        <v>58.167499999999997</v>
      </c>
    </row>
    <row r="18" spans="2:26" x14ac:dyDescent="0.25">
      <c r="C18">
        <f>AVERAGE(C14:C17)</f>
        <v>99.901575000000008</v>
      </c>
      <c r="G18" s="27"/>
      <c r="H18" s="2">
        <v>99.675299999999993</v>
      </c>
      <c r="I18" s="2">
        <v>100</v>
      </c>
      <c r="J18" s="2">
        <v>75.610900000000001</v>
      </c>
      <c r="K18" s="2">
        <v>97.303899999999999</v>
      </c>
      <c r="L18" s="2">
        <v>0.99670000000000003</v>
      </c>
      <c r="M18" s="2">
        <v>1</v>
      </c>
      <c r="N18" s="2">
        <v>0.75949999999999995</v>
      </c>
      <c r="O18" s="2">
        <v>0.97219999999999995</v>
      </c>
      <c r="P18" s="2">
        <v>0.99670000000000003</v>
      </c>
      <c r="Q18" s="2">
        <v>1</v>
      </c>
      <c r="R18" s="2">
        <v>0.75990000000000002</v>
      </c>
      <c r="S18" s="2">
        <v>0.97260000000000002</v>
      </c>
      <c r="U18" s="7" t="s">
        <v>33</v>
      </c>
      <c r="V18" s="2">
        <v>99.94</v>
      </c>
      <c r="W18" s="2">
        <v>99.94</v>
      </c>
      <c r="X18" s="2">
        <v>99.94</v>
      </c>
      <c r="Y18" s="2">
        <v>99.94</v>
      </c>
      <c r="Z18" s="5">
        <f t="shared" si="2"/>
        <v>99.94</v>
      </c>
    </row>
    <row r="19" spans="2:26" x14ac:dyDescent="0.25">
      <c r="B19" s="34" t="s">
        <v>43</v>
      </c>
      <c r="C19">
        <v>95.259</v>
      </c>
      <c r="D19">
        <v>92.424199999999999</v>
      </c>
      <c r="E19">
        <v>95.698899999999995</v>
      </c>
      <c r="G19" s="5"/>
      <c r="H19" s="5">
        <f>AVERAGE(H15:H18)</f>
        <v>98.896074999999996</v>
      </c>
      <c r="I19" s="8">
        <f t="shared" ref="I19:S19" si="3">AVERAGE(I15:I18)</f>
        <v>100</v>
      </c>
      <c r="J19" s="5">
        <f t="shared" si="3"/>
        <v>77.284925000000001</v>
      </c>
      <c r="K19" s="5">
        <f t="shared" si="3"/>
        <v>98.308824999999999</v>
      </c>
      <c r="L19" s="5">
        <f t="shared" si="3"/>
        <v>0.98895000000000011</v>
      </c>
      <c r="M19" s="8">
        <f t="shared" si="3"/>
        <v>1</v>
      </c>
      <c r="N19" s="5">
        <f t="shared" si="3"/>
        <v>0.78027500000000005</v>
      </c>
      <c r="O19" s="5">
        <f t="shared" si="3"/>
        <v>0.98275000000000001</v>
      </c>
      <c r="P19" s="5">
        <f t="shared" si="3"/>
        <v>0.98892500000000005</v>
      </c>
      <c r="Q19" s="8">
        <f t="shared" si="3"/>
        <v>1</v>
      </c>
      <c r="R19" s="5">
        <f t="shared" si="3"/>
        <v>0.77952500000000002</v>
      </c>
      <c r="S19" s="5">
        <f t="shared" si="3"/>
        <v>0.98294999999999999</v>
      </c>
      <c r="U19" s="7" t="s">
        <v>34</v>
      </c>
      <c r="V19" s="2">
        <v>55.71</v>
      </c>
      <c r="W19" s="2">
        <v>55.84</v>
      </c>
      <c r="X19" s="2">
        <v>56.1</v>
      </c>
      <c r="Y19" s="2">
        <v>55.91</v>
      </c>
      <c r="Z19" s="5">
        <f t="shared" si="2"/>
        <v>55.89</v>
      </c>
    </row>
    <row r="20" spans="2:26" x14ac:dyDescent="0.25">
      <c r="B20" s="35"/>
      <c r="C20">
        <v>91.3001</v>
      </c>
      <c r="D20">
        <v>99.804500000000004</v>
      </c>
      <c r="E20">
        <v>98.924700000000001</v>
      </c>
      <c r="G20" s="26" t="s">
        <v>56</v>
      </c>
      <c r="H20" s="2">
        <v>99.610399999999998</v>
      </c>
      <c r="I20" s="2">
        <v>100</v>
      </c>
      <c r="J20" s="2">
        <v>90.518100000000004</v>
      </c>
      <c r="K20" s="2">
        <v>100</v>
      </c>
      <c r="L20" s="2">
        <v>0.99609999999999999</v>
      </c>
      <c r="M20" s="2">
        <v>1</v>
      </c>
      <c r="N20" s="2">
        <v>0.90490000000000004</v>
      </c>
      <c r="O20" s="2">
        <v>1</v>
      </c>
      <c r="P20" s="2">
        <v>0.99609999999999999</v>
      </c>
      <c r="Q20" s="2">
        <v>1</v>
      </c>
      <c r="R20" s="2">
        <v>0.9042</v>
      </c>
      <c r="S20" s="2">
        <v>1</v>
      </c>
      <c r="U20" s="7" t="s">
        <v>35</v>
      </c>
      <c r="V20" s="2">
        <v>56.17</v>
      </c>
      <c r="W20" s="2">
        <v>55.65</v>
      </c>
      <c r="X20" s="2">
        <v>56.1</v>
      </c>
      <c r="Y20" s="2">
        <v>55.54</v>
      </c>
      <c r="Z20" s="5">
        <f t="shared" si="2"/>
        <v>55.864999999999995</v>
      </c>
    </row>
    <row r="21" spans="2:26" x14ac:dyDescent="0.25">
      <c r="B21" s="35"/>
      <c r="C21">
        <v>96.187700000000007</v>
      </c>
      <c r="D21">
        <v>95.747799999999998</v>
      </c>
      <c r="E21">
        <v>95.845600000000005</v>
      </c>
      <c r="G21" s="27"/>
      <c r="H21" s="2">
        <v>99.935100000000006</v>
      </c>
      <c r="I21" s="2">
        <v>99.921300000000002</v>
      </c>
      <c r="J21" s="2">
        <v>91.153499999999994</v>
      </c>
      <c r="K21" s="1">
        <v>98.333299999999994</v>
      </c>
      <c r="L21" s="2">
        <v>0.99939999999999996</v>
      </c>
      <c r="M21" s="2">
        <v>0.99919999999999998</v>
      </c>
      <c r="N21" s="2">
        <v>0.91039999999999999</v>
      </c>
      <c r="O21" s="2">
        <v>0.98319999999999996</v>
      </c>
      <c r="P21" s="2">
        <v>0.99939999999999996</v>
      </c>
      <c r="Q21" s="2">
        <v>0.99919999999999998</v>
      </c>
      <c r="R21" s="2">
        <v>0.91059999999999997</v>
      </c>
      <c r="S21" s="2">
        <v>0.98329999999999995</v>
      </c>
      <c r="U21" s="7" t="s">
        <v>36</v>
      </c>
      <c r="V21" s="2">
        <v>99.94</v>
      </c>
      <c r="W21" s="2">
        <v>100</v>
      </c>
      <c r="X21" s="2">
        <v>100</v>
      </c>
      <c r="Y21" s="2">
        <v>99.94</v>
      </c>
      <c r="Z21" s="8">
        <f t="shared" si="2"/>
        <v>99.97</v>
      </c>
    </row>
    <row r="22" spans="2:26" x14ac:dyDescent="0.25">
      <c r="B22" s="35"/>
      <c r="C22">
        <v>93.939499999999995</v>
      </c>
      <c r="D22">
        <v>95.063500000000005</v>
      </c>
      <c r="E22">
        <v>99.413499999999999</v>
      </c>
      <c r="G22" s="27"/>
      <c r="H22" s="2">
        <v>99.935100000000006</v>
      </c>
      <c r="I22" s="2">
        <v>100</v>
      </c>
      <c r="J22" s="2">
        <v>98.973600000000005</v>
      </c>
      <c r="K22" s="2">
        <v>100</v>
      </c>
      <c r="L22" s="2">
        <v>0.99929999999999997</v>
      </c>
      <c r="M22" s="2">
        <v>1</v>
      </c>
      <c r="N22" s="2">
        <v>0.98960000000000004</v>
      </c>
      <c r="O22" s="2">
        <v>1</v>
      </c>
      <c r="P22" s="2">
        <v>0.99939999999999996</v>
      </c>
      <c r="Q22" s="2">
        <v>1</v>
      </c>
      <c r="R22" s="2">
        <v>0.98980000000000001</v>
      </c>
      <c r="S22" s="2">
        <v>1</v>
      </c>
    </row>
    <row r="23" spans="2:26" x14ac:dyDescent="0.25">
      <c r="C23">
        <f>AVERAGE(C19:C22)</f>
        <v>94.171575000000004</v>
      </c>
      <c r="D23">
        <f>AVERAGE(D19:D22)</f>
        <v>95.759999999999991</v>
      </c>
      <c r="E23">
        <f>AVERAGE(E19:E22)</f>
        <v>97.470675</v>
      </c>
      <c r="G23" s="27"/>
      <c r="H23" s="2">
        <v>99.870099999999994</v>
      </c>
      <c r="I23" s="2">
        <v>100</v>
      </c>
      <c r="J23" s="2">
        <v>99.902199999999993</v>
      </c>
      <c r="K23" s="2">
        <v>99.509799999999998</v>
      </c>
      <c r="L23" s="2">
        <v>0.99870000000000003</v>
      </c>
      <c r="M23" s="2">
        <v>1</v>
      </c>
      <c r="N23" s="2">
        <v>0.999</v>
      </c>
      <c r="O23" s="2">
        <v>0.99509999999999998</v>
      </c>
      <c r="P23" s="2">
        <v>0.99870000000000003</v>
      </c>
      <c r="Q23" s="2">
        <v>1</v>
      </c>
      <c r="R23" s="2">
        <v>0.999</v>
      </c>
      <c r="S23" s="2">
        <v>0.99509999999999998</v>
      </c>
    </row>
    <row r="24" spans="2:26" x14ac:dyDescent="0.25">
      <c r="B24" s="34" t="s">
        <v>44</v>
      </c>
      <c r="C24">
        <v>100</v>
      </c>
      <c r="G24" s="5"/>
      <c r="H24" s="5">
        <f>AVERAGE(H20:H23)</f>
        <v>99.83767499999999</v>
      </c>
      <c r="I24" s="5">
        <f t="shared" ref="I24:S24" si="4">AVERAGE(I20:I23)</f>
        <v>99.980324999999993</v>
      </c>
      <c r="J24" s="5">
        <f t="shared" si="4"/>
        <v>95.13685000000001</v>
      </c>
      <c r="K24" s="5">
        <f t="shared" si="4"/>
        <v>99.460774999999998</v>
      </c>
      <c r="L24" s="5">
        <f t="shared" si="4"/>
        <v>0.9983749999999999</v>
      </c>
      <c r="M24" s="5">
        <f t="shared" si="4"/>
        <v>0.99980000000000002</v>
      </c>
      <c r="N24" s="5">
        <f t="shared" si="4"/>
        <v>0.95097500000000001</v>
      </c>
      <c r="O24" s="5">
        <f t="shared" si="4"/>
        <v>0.99457499999999999</v>
      </c>
      <c r="P24" s="5">
        <f t="shared" si="4"/>
        <v>0.99839999999999995</v>
      </c>
      <c r="Q24" s="5">
        <f t="shared" si="4"/>
        <v>0.99980000000000002</v>
      </c>
      <c r="R24" s="5">
        <f t="shared" si="4"/>
        <v>0.95089999999999997</v>
      </c>
      <c r="S24" s="5">
        <f t="shared" si="4"/>
        <v>0.99459999999999993</v>
      </c>
    </row>
    <row r="25" spans="2:26" x14ac:dyDescent="0.25">
      <c r="B25" s="35"/>
      <c r="C25">
        <v>99.950999999999993</v>
      </c>
      <c r="G25" s="26" t="s">
        <v>67</v>
      </c>
      <c r="H25" s="2">
        <v>100</v>
      </c>
      <c r="I25" s="2">
        <v>100</v>
      </c>
      <c r="J25" s="2">
        <v>70.723399999999998</v>
      </c>
      <c r="K25" s="2">
        <v>96.960800000000006</v>
      </c>
      <c r="L25" s="2">
        <v>1</v>
      </c>
      <c r="M25" s="2">
        <v>1</v>
      </c>
      <c r="N25" s="2">
        <v>0.71840000000000004</v>
      </c>
      <c r="O25" s="2">
        <v>0.96799999999999997</v>
      </c>
      <c r="P25" s="2">
        <v>1</v>
      </c>
      <c r="Q25" s="2">
        <v>1</v>
      </c>
      <c r="R25" s="2">
        <v>0.71709999999999996</v>
      </c>
      <c r="S25" s="2">
        <v>0.96860000000000002</v>
      </c>
    </row>
    <row r="26" spans="2:26" x14ac:dyDescent="0.25">
      <c r="B26" s="35"/>
      <c r="C26">
        <v>100</v>
      </c>
      <c r="G26" s="27"/>
      <c r="H26" s="2">
        <v>98.960999999999999</v>
      </c>
      <c r="I26" s="2">
        <v>100</v>
      </c>
      <c r="J26" s="2">
        <v>76.441800000000001</v>
      </c>
      <c r="K26" s="2">
        <v>96.5685</v>
      </c>
      <c r="L26" s="2">
        <v>0.98960000000000004</v>
      </c>
      <c r="M26" s="2">
        <v>1</v>
      </c>
      <c r="N26" s="2">
        <v>0.7712</v>
      </c>
      <c r="O26" s="2">
        <v>0.96460000000000001</v>
      </c>
      <c r="P26" s="2">
        <v>0.98960000000000004</v>
      </c>
      <c r="Q26" s="2">
        <v>1</v>
      </c>
      <c r="R26" s="2">
        <v>0.76929999999999998</v>
      </c>
      <c r="S26" s="2">
        <v>0.96499999999999997</v>
      </c>
    </row>
    <row r="27" spans="2:26" x14ac:dyDescent="0.25">
      <c r="B27" s="35"/>
      <c r="C27">
        <v>99.852900000000005</v>
      </c>
      <c r="G27" s="27"/>
      <c r="H27" s="2">
        <v>100</v>
      </c>
      <c r="I27" s="2">
        <v>100</v>
      </c>
      <c r="J27" s="2">
        <v>79.667599999999993</v>
      </c>
      <c r="K27" s="2">
        <v>98.725499999999997</v>
      </c>
      <c r="L27" s="2">
        <v>1</v>
      </c>
      <c r="M27" s="2">
        <v>1</v>
      </c>
      <c r="N27" s="2">
        <v>0.7984</v>
      </c>
      <c r="O27" s="2">
        <v>0.98709999999999998</v>
      </c>
      <c r="P27" s="2">
        <v>1</v>
      </c>
      <c r="Q27" s="2">
        <v>1</v>
      </c>
      <c r="R27" s="2">
        <v>0.7974</v>
      </c>
      <c r="S27" s="2">
        <v>0.98719999999999997</v>
      </c>
    </row>
    <row r="28" spans="2:26" x14ac:dyDescent="0.25">
      <c r="G28" s="27"/>
      <c r="H28" s="2">
        <v>97.207800000000006</v>
      </c>
      <c r="I28" s="2">
        <v>100</v>
      </c>
      <c r="J28" s="2">
        <v>77.126099999999994</v>
      </c>
      <c r="K28" s="2">
        <v>98.431399999999996</v>
      </c>
      <c r="L28" s="2">
        <v>0.97240000000000004</v>
      </c>
      <c r="M28" s="2">
        <v>1</v>
      </c>
      <c r="N28" s="2">
        <v>0.78620000000000001</v>
      </c>
      <c r="O28" s="2">
        <v>0.98429999999999995</v>
      </c>
      <c r="P28" s="2">
        <v>0.97230000000000005</v>
      </c>
      <c r="Q28" s="2">
        <v>1</v>
      </c>
      <c r="R28" s="2">
        <v>0.78380000000000005</v>
      </c>
      <c r="S28" s="2">
        <v>0.98429999999999995</v>
      </c>
    </row>
    <row r="29" spans="2:26" x14ac:dyDescent="0.25">
      <c r="G29" s="5"/>
      <c r="H29" s="5">
        <f>AVERAGE(H25:H28)</f>
        <v>99.042200000000008</v>
      </c>
      <c r="I29" s="8">
        <f t="shared" ref="I29:S29" si="5">AVERAGE(I25:I28)</f>
        <v>100</v>
      </c>
      <c r="J29" s="5">
        <f t="shared" si="5"/>
        <v>75.989724999999993</v>
      </c>
      <c r="K29" s="5">
        <f t="shared" si="5"/>
        <v>97.671549999999996</v>
      </c>
      <c r="L29" s="5">
        <f t="shared" si="5"/>
        <v>0.99050000000000005</v>
      </c>
      <c r="M29" s="8">
        <f t="shared" si="5"/>
        <v>1</v>
      </c>
      <c r="N29" s="5">
        <f t="shared" si="5"/>
        <v>0.76855000000000007</v>
      </c>
      <c r="O29" s="5">
        <f t="shared" si="5"/>
        <v>0.97599999999999998</v>
      </c>
      <c r="P29" s="5">
        <f t="shared" si="5"/>
        <v>0.99047500000000011</v>
      </c>
      <c r="Q29" s="8">
        <f t="shared" si="5"/>
        <v>1</v>
      </c>
      <c r="R29" s="5">
        <f t="shared" si="5"/>
        <v>0.76689999999999992</v>
      </c>
      <c r="S29" s="5">
        <f t="shared" si="5"/>
        <v>0.976275</v>
      </c>
    </row>
    <row r="30" spans="2:26" x14ac:dyDescent="0.25">
      <c r="G30" s="26" t="s">
        <v>57</v>
      </c>
      <c r="H30" s="2">
        <v>98.571399999999997</v>
      </c>
      <c r="I30" s="2">
        <v>99.921300000000002</v>
      </c>
      <c r="J30" s="2">
        <v>82.453599999999994</v>
      </c>
      <c r="K30" s="2">
        <v>99.902000000000001</v>
      </c>
      <c r="L30" s="2">
        <v>0.98529999999999995</v>
      </c>
      <c r="M30" s="2">
        <v>0.99919999999999998</v>
      </c>
      <c r="N30" s="2">
        <v>0.8226</v>
      </c>
      <c r="O30" s="2">
        <v>0.99909999999999999</v>
      </c>
      <c r="P30" s="2">
        <v>0.98570000000000002</v>
      </c>
      <c r="Q30" s="2">
        <v>0.99919999999999998</v>
      </c>
      <c r="R30" s="2">
        <v>0.82369999999999999</v>
      </c>
      <c r="S30" s="2">
        <v>0.999</v>
      </c>
    </row>
    <row r="31" spans="2:26" x14ac:dyDescent="0.25">
      <c r="G31" s="27"/>
      <c r="H31" s="2">
        <v>100</v>
      </c>
      <c r="I31" s="2">
        <v>100</v>
      </c>
      <c r="J31" s="2">
        <v>69.159300000000002</v>
      </c>
      <c r="K31" s="2">
        <v>99.656899999999993</v>
      </c>
      <c r="L31" s="2">
        <v>1</v>
      </c>
      <c r="M31" s="2">
        <v>1</v>
      </c>
      <c r="N31" s="2">
        <v>0.69740000000000002</v>
      </c>
      <c r="O31" s="2">
        <v>0.99670000000000003</v>
      </c>
      <c r="P31" s="2">
        <v>1</v>
      </c>
      <c r="Q31" s="2">
        <v>1</v>
      </c>
      <c r="R31" s="2">
        <v>0.6966</v>
      </c>
      <c r="S31" s="2">
        <v>0.99660000000000004</v>
      </c>
    </row>
    <row r="32" spans="2:26" x14ac:dyDescent="0.25">
      <c r="G32" s="27"/>
      <c r="H32" s="2">
        <v>100</v>
      </c>
      <c r="I32" s="2">
        <v>100</v>
      </c>
      <c r="J32" s="2">
        <v>83.186700000000002</v>
      </c>
      <c r="K32" s="2">
        <v>100</v>
      </c>
      <c r="L32" s="2">
        <v>1</v>
      </c>
      <c r="M32" s="2">
        <v>1</v>
      </c>
      <c r="N32" s="2">
        <v>0.83209999999999995</v>
      </c>
      <c r="O32" s="2">
        <v>1</v>
      </c>
      <c r="P32" s="2">
        <v>1</v>
      </c>
      <c r="Q32" s="2">
        <v>1</v>
      </c>
      <c r="R32" s="2">
        <v>0.83069999999999999</v>
      </c>
      <c r="S32" s="2">
        <v>1</v>
      </c>
    </row>
    <row r="33" spans="7:19" x14ac:dyDescent="0.25">
      <c r="G33" s="27"/>
      <c r="H33" s="2">
        <v>99.935100000000006</v>
      </c>
      <c r="I33" s="2">
        <v>100</v>
      </c>
      <c r="J33" s="2">
        <v>69.012600000000006</v>
      </c>
      <c r="K33" s="2">
        <v>99.852900000000005</v>
      </c>
      <c r="L33" s="2">
        <v>0.99939999999999996</v>
      </c>
      <c r="M33" s="2">
        <v>1</v>
      </c>
      <c r="N33" s="2">
        <v>0.69440000000000002</v>
      </c>
      <c r="O33" s="2">
        <v>0.99860000000000004</v>
      </c>
      <c r="P33" s="2">
        <v>0.99939999999999996</v>
      </c>
      <c r="Q33" s="2">
        <v>1</v>
      </c>
      <c r="R33" s="2">
        <v>0.69450000000000001</v>
      </c>
      <c r="S33" s="2">
        <v>0.99850000000000005</v>
      </c>
    </row>
    <row r="34" spans="7:19" x14ac:dyDescent="0.25">
      <c r="G34" s="5"/>
      <c r="H34" s="5">
        <f>AVERAGE(H30:H33)</f>
        <v>99.62662499999999</v>
      </c>
      <c r="I34" s="5">
        <f t="shared" ref="I34:S34" si="6">AVERAGE(I30:I33)</f>
        <v>99.980324999999993</v>
      </c>
      <c r="J34" s="5">
        <f t="shared" si="6"/>
        <v>75.953050000000005</v>
      </c>
      <c r="K34" s="5">
        <f>AVERAGE(K30:K33)</f>
        <v>99.852949999999993</v>
      </c>
      <c r="L34" s="5">
        <f>AVERAGE(L30:L33)</f>
        <v>0.99617500000000003</v>
      </c>
      <c r="M34" s="5">
        <f t="shared" si="6"/>
        <v>0.99980000000000002</v>
      </c>
      <c r="N34" s="5">
        <f t="shared" si="6"/>
        <v>0.761625</v>
      </c>
      <c r="O34" s="5">
        <f t="shared" si="6"/>
        <v>0.99860000000000004</v>
      </c>
      <c r="P34" s="5">
        <f t="shared" si="6"/>
        <v>0.99627500000000002</v>
      </c>
      <c r="Q34" s="5">
        <f t="shared" si="6"/>
        <v>0.99980000000000002</v>
      </c>
      <c r="R34" s="5">
        <f t="shared" si="6"/>
        <v>0.76137500000000002</v>
      </c>
      <c r="S34" s="5">
        <f t="shared" si="6"/>
        <v>0.998525</v>
      </c>
    </row>
    <row r="36" spans="7:19" x14ac:dyDescent="0.25">
      <c r="G36" s="18" t="s">
        <v>75</v>
      </c>
    </row>
    <row r="37" spans="7:19" x14ac:dyDescent="0.25">
      <c r="G37" s="6"/>
      <c r="H37" s="7" t="s">
        <v>14</v>
      </c>
      <c r="I37" s="7" t="s">
        <v>15</v>
      </c>
      <c r="J37" s="7" t="s">
        <v>16</v>
      </c>
      <c r="K37" s="7" t="s">
        <v>17</v>
      </c>
      <c r="L37" s="7" t="s">
        <v>18</v>
      </c>
      <c r="M37" s="7" t="s">
        <v>19</v>
      </c>
      <c r="N37" s="7" t="s">
        <v>20</v>
      </c>
    </row>
    <row r="38" spans="7:19" x14ac:dyDescent="0.25">
      <c r="G38" s="21" t="s">
        <v>68</v>
      </c>
      <c r="H38" s="2">
        <v>100</v>
      </c>
      <c r="I38" s="2">
        <v>77.9221</v>
      </c>
      <c r="J38" s="2">
        <v>100</v>
      </c>
      <c r="K38" s="2">
        <v>99.94</v>
      </c>
      <c r="L38" s="2">
        <v>99.870099999999994</v>
      </c>
      <c r="M38" s="2">
        <v>100</v>
      </c>
      <c r="N38" s="2">
        <v>100</v>
      </c>
    </row>
    <row r="39" spans="7:19" x14ac:dyDescent="0.25">
      <c r="G39" s="22"/>
      <c r="H39" s="2">
        <v>99.935100000000006</v>
      </c>
      <c r="I39" s="2">
        <v>74.805199999999999</v>
      </c>
      <c r="J39" s="2">
        <v>99.94</v>
      </c>
      <c r="K39" s="2">
        <v>99.94</v>
      </c>
      <c r="L39" s="2">
        <v>100</v>
      </c>
      <c r="M39" s="2">
        <v>100</v>
      </c>
      <c r="N39" s="2">
        <v>99.870099999999994</v>
      </c>
    </row>
    <row r="40" spans="7:19" x14ac:dyDescent="0.25">
      <c r="G40" s="22"/>
      <c r="H40" s="2">
        <v>100</v>
      </c>
      <c r="I40" s="2">
        <v>73.181799999999996</v>
      </c>
      <c r="J40" s="2">
        <v>99.94</v>
      </c>
      <c r="K40" s="2">
        <v>99.87</v>
      </c>
      <c r="L40" s="2">
        <v>99.935100000000006</v>
      </c>
      <c r="M40" s="2">
        <v>100</v>
      </c>
      <c r="N40" s="2">
        <v>100</v>
      </c>
    </row>
    <row r="41" spans="7:19" x14ac:dyDescent="0.25">
      <c r="G41" s="22"/>
      <c r="H41" s="2">
        <v>100</v>
      </c>
      <c r="I41" s="2">
        <v>78.701300000000003</v>
      </c>
      <c r="J41" s="2">
        <v>99.94</v>
      </c>
      <c r="K41" s="2">
        <v>100</v>
      </c>
      <c r="L41" s="2">
        <v>100</v>
      </c>
      <c r="M41" s="2">
        <v>100</v>
      </c>
      <c r="N41" s="2">
        <v>100</v>
      </c>
    </row>
    <row r="42" spans="7:19" x14ac:dyDescent="0.25">
      <c r="G42" s="5"/>
      <c r="H42" s="8">
        <f>AVERAGE(H38:H41)</f>
        <v>99.983775000000009</v>
      </c>
      <c r="I42" s="5">
        <f t="shared" ref="I42:M42" si="7">AVERAGE(I38:I41)</f>
        <v>76.152600000000007</v>
      </c>
      <c r="J42" s="10">
        <f t="shared" si="7"/>
        <v>99.954999999999998</v>
      </c>
      <c r="K42" s="5">
        <f t="shared" si="7"/>
        <v>99.9375</v>
      </c>
      <c r="L42" s="10">
        <f t="shared" si="7"/>
        <v>99.951300000000003</v>
      </c>
      <c r="M42" s="5">
        <f t="shared" si="7"/>
        <v>100</v>
      </c>
      <c r="N42" s="5">
        <f>AVERAGE(N38:N41)</f>
        <v>99.967524999999995</v>
      </c>
    </row>
    <row r="43" spans="7:19" x14ac:dyDescent="0.25">
      <c r="G43" s="21" t="s">
        <v>69</v>
      </c>
      <c r="H43" s="2">
        <v>100</v>
      </c>
      <c r="I43" s="2">
        <v>98.110200000000006</v>
      </c>
      <c r="J43" s="2">
        <v>100</v>
      </c>
      <c r="K43" s="2">
        <v>99.842500000000001</v>
      </c>
      <c r="L43" s="2">
        <v>99.842500000000001</v>
      </c>
      <c r="M43" s="2">
        <v>100</v>
      </c>
      <c r="N43" s="2">
        <v>100</v>
      </c>
    </row>
    <row r="44" spans="7:19" x14ac:dyDescent="0.25">
      <c r="G44" s="22"/>
      <c r="H44" s="2">
        <v>100</v>
      </c>
      <c r="I44" s="2">
        <v>99.212599999999995</v>
      </c>
      <c r="J44" s="2">
        <v>99.921300000000002</v>
      </c>
      <c r="K44" s="2">
        <v>99.763800000000003</v>
      </c>
      <c r="L44" s="2">
        <v>99.606300000000005</v>
      </c>
      <c r="M44" s="2">
        <v>100</v>
      </c>
      <c r="N44" s="2">
        <v>100</v>
      </c>
    </row>
    <row r="45" spans="7:19" x14ac:dyDescent="0.25">
      <c r="G45" s="22"/>
      <c r="H45" s="2">
        <v>100</v>
      </c>
      <c r="I45" s="2">
        <v>99.685000000000002</v>
      </c>
      <c r="J45" s="2">
        <v>99.921300000000002</v>
      </c>
      <c r="K45" s="2">
        <v>100</v>
      </c>
      <c r="L45" s="2">
        <v>100</v>
      </c>
      <c r="M45" s="2">
        <v>99.921300000000002</v>
      </c>
      <c r="N45" s="2">
        <v>99.842500000000001</v>
      </c>
    </row>
    <row r="46" spans="7:19" x14ac:dyDescent="0.25">
      <c r="G46" s="22"/>
      <c r="H46" s="2">
        <v>100</v>
      </c>
      <c r="I46" s="2">
        <v>99.763800000000003</v>
      </c>
      <c r="J46" s="2">
        <v>99.842500000000001</v>
      </c>
      <c r="K46" s="2">
        <v>99.842500000000001</v>
      </c>
      <c r="L46" s="2">
        <v>99.685000000000002</v>
      </c>
      <c r="M46" s="2">
        <v>99.842500000000001</v>
      </c>
      <c r="N46" s="2">
        <v>99.921300000000002</v>
      </c>
    </row>
    <row r="47" spans="7:19" x14ac:dyDescent="0.25">
      <c r="G47" s="5"/>
      <c r="H47" s="8">
        <f>AVERAGE(H43:H46)</f>
        <v>100</v>
      </c>
      <c r="I47" s="10">
        <f t="shared" ref="I47:M47" si="8">AVERAGE(I43:I46)</f>
        <v>99.192899999999995</v>
      </c>
      <c r="J47" s="10">
        <f t="shared" si="8"/>
        <v>99.921275000000009</v>
      </c>
      <c r="K47" s="10">
        <f t="shared" si="8"/>
        <v>99.862200000000001</v>
      </c>
      <c r="L47" s="10">
        <f t="shared" si="8"/>
        <v>99.783450000000002</v>
      </c>
      <c r="M47" s="10">
        <f t="shared" si="8"/>
        <v>99.940949999999987</v>
      </c>
      <c r="N47" s="10">
        <f>AVERAGE(N43:N46)</f>
        <v>99.940949999999987</v>
      </c>
    </row>
    <row r="48" spans="7:19" x14ac:dyDescent="0.25">
      <c r="G48" s="21" t="s">
        <v>70</v>
      </c>
      <c r="H48" s="2">
        <v>95.356800000000007</v>
      </c>
      <c r="I48" s="2">
        <v>64.222899999999996</v>
      </c>
      <c r="J48" s="2">
        <v>95.601200000000006</v>
      </c>
      <c r="K48" s="2">
        <v>95.894400000000005</v>
      </c>
      <c r="L48" s="2">
        <v>98.436000000000007</v>
      </c>
      <c r="M48" s="2">
        <v>99.413499999999999</v>
      </c>
      <c r="N48" s="2">
        <v>99.413499999999999</v>
      </c>
    </row>
    <row r="49" spans="7:14" x14ac:dyDescent="0.25">
      <c r="G49" s="22"/>
      <c r="H49" s="2">
        <v>93.401799999999994</v>
      </c>
      <c r="I49" s="2">
        <v>66.080200000000005</v>
      </c>
      <c r="J49" s="2">
        <v>99.706699999999998</v>
      </c>
      <c r="K49" s="2">
        <v>98.125399999999999</v>
      </c>
      <c r="L49" s="2">
        <v>99.511200000000002</v>
      </c>
      <c r="M49" s="2">
        <v>93.8416</v>
      </c>
      <c r="N49" s="2">
        <v>99.706699999999998</v>
      </c>
    </row>
    <row r="50" spans="7:14" x14ac:dyDescent="0.25">
      <c r="G50" s="22"/>
      <c r="H50" s="2">
        <v>98.123500000000007</v>
      </c>
      <c r="I50" s="2">
        <v>60.9482</v>
      </c>
      <c r="J50" s="2">
        <v>92.277600000000007</v>
      </c>
      <c r="K50" s="2">
        <v>95.845600000000005</v>
      </c>
      <c r="L50" s="2">
        <v>99.902199999999993</v>
      </c>
      <c r="M50" s="2">
        <v>99.804500000000004</v>
      </c>
      <c r="N50" s="2">
        <v>100</v>
      </c>
    </row>
    <row r="51" spans="7:14" x14ac:dyDescent="0.25">
      <c r="G51" s="22"/>
      <c r="H51" s="2">
        <v>99.804500000000004</v>
      </c>
      <c r="I51" s="2">
        <v>66.422300000000007</v>
      </c>
      <c r="J51" s="2">
        <v>95.307900000000004</v>
      </c>
      <c r="K51" s="2">
        <v>99.120199999999997</v>
      </c>
      <c r="L51" s="2">
        <v>93.646100000000004</v>
      </c>
      <c r="M51" s="2">
        <v>99.071399999999997</v>
      </c>
      <c r="N51" s="2">
        <v>99.657899999999998</v>
      </c>
    </row>
    <row r="52" spans="7:14" x14ac:dyDescent="0.25">
      <c r="G52" s="5"/>
      <c r="H52" s="10">
        <f t="shared" ref="H52:N52" si="9">AVERAGE(H48:H51)</f>
        <v>96.671650000000014</v>
      </c>
      <c r="I52" s="10">
        <f t="shared" si="9"/>
        <v>64.418400000000005</v>
      </c>
      <c r="J52" s="10">
        <f t="shared" si="9"/>
        <v>95.723350000000011</v>
      </c>
      <c r="K52" s="10">
        <f t="shared" si="9"/>
        <v>97.246400000000008</v>
      </c>
      <c r="L52" s="10">
        <f t="shared" si="9"/>
        <v>97.873874999999998</v>
      </c>
      <c r="M52" s="10">
        <f t="shared" si="9"/>
        <v>98.032749999999993</v>
      </c>
      <c r="N52" s="8">
        <f t="shared" si="9"/>
        <v>99.694524999999999</v>
      </c>
    </row>
    <row r="53" spans="7:14" x14ac:dyDescent="0.25">
      <c r="G53" s="21" t="s">
        <v>71</v>
      </c>
      <c r="H53" s="2">
        <v>100</v>
      </c>
      <c r="I53" s="2">
        <v>78.970600000000005</v>
      </c>
      <c r="J53" s="2">
        <v>100</v>
      </c>
      <c r="K53" s="2">
        <v>99.950999999999993</v>
      </c>
      <c r="L53" s="2">
        <v>100</v>
      </c>
      <c r="M53" s="2">
        <v>99.071399999999997</v>
      </c>
      <c r="N53" s="2">
        <v>99.950999999999993</v>
      </c>
    </row>
    <row r="54" spans="7:14" x14ac:dyDescent="0.25">
      <c r="G54" s="22"/>
      <c r="H54" s="2">
        <v>99.754900000000006</v>
      </c>
      <c r="I54" s="2">
        <v>86.764700000000005</v>
      </c>
      <c r="J54" s="2">
        <v>99.803899999999999</v>
      </c>
      <c r="K54" s="2">
        <v>100</v>
      </c>
      <c r="L54" s="2">
        <v>100</v>
      </c>
      <c r="M54" s="2">
        <v>99.950999999999993</v>
      </c>
      <c r="N54" s="2">
        <v>99.902000000000001</v>
      </c>
    </row>
    <row r="55" spans="7:14" x14ac:dyDescent="0.25">
      <c r="G55" s="22"/>
      <c r="H55" s="2">
        <v>100</v>
      </c>
      <c r="I55" s="2">
        <v>83.039199999999994</v>
      </c>
      <c r="J55" s="2">
        <v>99.902000000000001</v>
      </c>
      <c r="K55" s="2">
        <v>99.950999999999993</v>
      </c>
      <c r="L55" s="2">
        <v>100</v>
      </c>
      <c r="M55" s="2">
        <v>100</v>
      </c>
      <c r="N55" s="2">
        <v>100</v>
      </c>
    </row>
    <row r="56" spans="7:14" x14ac:dyDescent="0.25">
      <c r="G56" s="22"/>
      <c r="H56" s="2">
        <v>100</v>
      </c>
      <c r="I56" s="2">
        <v>87.352900000000005</v>
      </c>
      <c r="J56" s="2">
        <v>99.950999999999993</v>
      </c>
      <c r="K56" s="2">
        <v>100</v>
      </c>
      <c r="L56" s="2">
        <v>99.950999999999993</v>
      </c>
      <c r="M56" s="2">
        <v>99.950999999999993</v>
      </c>
      <c r="N56" s="2">
        <v>99.950999999999993</v>
      </c>
    </row>
    <row r="57" spans="7:14" x14ac:dyDescent="0.25">
      <c r="G57" s="5"/>
      <c r="H57" s="10">
        <f t="shared" ref="H57:M57" si="10">AVERAGE(H53:H56)</f>
        <v>99.938725000000005</v>
      </c>
      <c r="I57" s="10">
        <f t="shared" si="10"/>
        <v>84.031849999999991</v>
      </c>
      <c r="J57" s="10">
        <f t="shared" si="10"/>
        <v>99.914224999999988</v>
      </c>
      <c r="K57" s="10">
        <f t="shared" si="10"/>
        <v>99.975499999999997</v>
      </c>
      <c r="L57" s="8">
        <f t="shared" si="10"/>
        <v>99.987750000000005</v>
      </c>
      <c r="M57" s="10">
        <f t="shared" si="10"/>
        <v>99.743349999999992</v>
      </c>
      <c r="N57" s="10">
        <f>AVERAGE(N53:N56)</f>
        <v>99.950999999999993</v>
      </c>
    </row>
  </sheetData>
  <mergeCells count="28">
    <mergeCell ref="B9:B12"/>
    <mergeCell ref="G30:G33"/>
    <mergeCell ref="H8:K8"/>
    <mergeCell ref="L8:O8"/>
    <mergeCell ref="P8:S8"/>
    <mergeCell ref="G10:G13"/>
    <mergeCell ref="G15:G18"/>
    <mergeCell ref="B14:B17"/>
    <mergeCell ref="B19:B22"/>
    <mergeCell ref="B24:B27"/>
    <mergeCell ref="G20:G23"/>
    <mergeCell ref="G25:G28"/>
    <mergeCell ref="G2:I2"/>
    <mergeCell ref="J2:L2"/>
    <mergeCell ref="G38:G41"/>
    <mergeCell ref="G1:I1"/>
    <mergeCell ref="J1:L1"/>
    <mergeCell ref="G3:I3"/>
    <mergeCell ref="J3:L3"/>
    <mergeCell ref="G5:I5"/>
    <mergeCell ref="J5:L5"/>
    <mergeCell ref="J4:L4"/>
    <mergeCell ref="G43:G46"/>
    <mergeCell ref="G48:G51"/>
    <mergeCell ref="G53:G56"/>
    <mergeCell ref="G4:I4"/>
    <mergeCell ref="V8:Y8"/>
    <mergeCell ref="V15:Y15"/>
  </mergeCells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DIRG</vt:lpstr>
      <vt:lpstr>MAFAULDA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yangning</dc:creator>
  <cp:lastModifiedBy>Ning Yang</cp:lastModifiedBy>
  <dcterms:created xsi:type="dcterms:W3CDTF">2023-05-12T11:15:00Z</dcterms:created>
  <dcterms:modified xsi:type="dcterms:W3CDTF">2026-03-11T06:38:37Z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